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activeTab="3"/>
  </bookViews>
  <sheets>
    <sheet name="项目提成核算表" sheetId="2" r:id="rId1"/>
    <sheet name="一部遗留项目" sheetId="3" r:id="rId2"/>
    <sheet name="人员工资" sheetId="4" r:id="rId3"/>
    <sheet name="成本核算新表" sheetId="5" r:id="rId4"/>
  </sheets>
  <definedNames>
    <definedName name="_xlnm._FilterDatabase" localSheetId="0" hidden="1">项目提成核算表!$A$1:$AD$49</definedName>
    <definedName name="_xlnm._FilterDatabase" localSheetId="1" hidden="1">一部遗留项目!$B$1:$P$18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<sst xmlns="http://schemas.openxmlformats.org/spreadsheetml/2006/main" count="678" uniqueCount="274">
  <si>
    <t>项目名称</t>
  </si>
  <si>
    <t>项目金额</t>
  </si>
  <si>
    <t>项目成本比例</t>
  </si>
  <si>
    <t>项目成本红线</t>
  </si>
  <si>
    <t>UIUE</t>
  </si>
  <si>
    <t>产品提成比例</t>
  </si>
  <si>
    <t>产品提成金额</t>
  </si>
  <si>
    <t>开发人员数量</t>
  </si>
  <si>
    <t>项目周期（月）</t>
  </si>
  <si>
    <t>开发人员</t>
  </si>
  <si>
    <t>开发奖金比例</t>
  </si>
  <si>
    <t>开发奖金池</t>
  </si>
  <si>
    <t>开发每人奖金</t>
  </si>
  <si>
    <t>开发每人每月奖金</t>
  </si>
  <si>
    <t>项目实际成本</t>
  </si>
  <si>
    <t>项目预估利润</t>
  </si>
  <si>
    <t>地区</t>
  </si>
  <si>
    <t>商务经理</t>
  </si>
  <si>
    <t>项目签单时间</t>
  </si>
  <si>
    <t>UI确认时间</t>
  </si>
  <si>
    <t>工期</t>
  </si>
  <si>
    <t>理论验收日期</t>
  </si>
  <si>
    <t>实际交付日期</t>
  </si>
  <si>
    <t>已回款1</t>
  </si>
  <si>
    <t>已回款2</t>
  </si>
  <si>
    <t>已回款3</t>
  </si>
  <si>
    <t>已回款4</t>
  </si>
  <si>
    <t>付款方式</t>
  </si>
  <si>
    <t>备注</t>
  </si>
  <si>
    <t>IP</t>
  </si>
  <si>
    <t>报告查询H5</t>
  </si>
  <si>
    <t>原粼</t>
  </si>
  <si>
    <t>郑州</t>
  </si>
  <si>
    <t>靳林</t>
  </si>
  <si>
    <t>10工作日</t>
  </si>
  <si>
    <t>~</t>
  </si>
  <si>
    <t>50%50%</t>
  </si>
  <si>
    <t>43.248.0.138</t>
  </si>
  <si>
    <t>↘报告查询H5-增项1</t>
  </si>
  <si>
    <t>1工作日</t>
  </si>
  <si>
    <t>新增编号自增长</t>
  </si>
  <si>
    <t>↘报告查询H5-增项2</t>
  </si>
  <si>
    <t>7工作日</t>
  </si>
  <si>
    <t>📄会议纪要需修改需求总结</t>
  </si>
  <si>
    <t>↘报告查询H5-增项3</t>
  </si>
  <si>
    <t>2工作日</t>
  </si>
  <si>
    <t>跟郑老师沟通的，新增内容3点
1.增加导出功能
2.增加报告状态
3.报告管理页面:增加合伙人字段</t>
  </si>
  <si>
    <t>AI古玩知识问答</t>
  </si>
  <si>
    <t>张耘彬</t>
  </si>
  <si>
    <t>杭州</t>
  </si>
  <si>
    <t>董耀辉</t>
  </si>
  <si>
    <t>30工作日</t>
  </si>
  <si>
    <t>50%30%20%</t>
  </si>
  <si>
    <t>5月14日邮件交付了源码</t>
  </si>
  <si>
    <t>没开服务器</t>
  </si>
  <si>
    <t>↘AI古玩知识问答-增项1</t>
  </si>
  <si>
    <t>3工作日</t>
  </si>
  <si>
    <t>AI会议翻译项目</t>
  </si>
  <si>
    <t>陈安宁+卢佳蔚</t>
  </si>
  <si>
    <t>石亚辉/何建新</t>
  </si>
  <si>
    <t>45工作日</t>
  </si>
  <si>
    <t>30%30%30%10%</t>
  </si>
  <si>
    <t>给五部60%</t>
  </si>
  <si>
    <t>AI颜值分析 &amp; 穿搭推荐小程序项目</t>
  </si>
  <si>
    <t>孔阳+卢佳蔚</t>
  </si>
  <si>
    <t>段雪婷</t>
  </si>
  <si>
    <t>郭嘉宁</t>
  </si>
  <si>
    <t>35工作日</t>
  </si>
  <si>
    <t>47.99.121.98</t>
  </si>
  <si>
    <t>AI数据审核分析平台</t>
  </si>
  <si>
    <t>深圳</t>
  </si>
  <si>
    <t>郭丹妮</t>
  </si>
  <si>
    <t>50工作日</t>
  </si>
  <si>
    <t>30%20%40%10%</t>
  </si>
  <si>
    <t>四月底交付，客户认为讯飞不行，但又找不到更好的</t>
  </si>
  <si>
    <t>8.138.44.71</t>
  </si>
  <si>
    <t>工信局企业调研小程序</t>
  </si>
  <si>
    <t>李耀男</t>
  </si>
  <si>
    <t>张晓旭</t>
  </si>
  <si>
    <t>停工函已发</t>
  </si>
  <si>
    <t>47.93.26.214</t>
  </si>
  <si>
    <t>Ai医膳智评小程序</t>
  </si>
  <si>
    <t>卢佳蔚</t>
  </si>
  <si>
    <t>李浩田</t>
  </si>
  <si>
    <t>陈妍莼</t>
  </si>
  <si>
    <t>47.114.93.178</t>
  </si>
  <si>
    <t>↘Ai医膳智评小程序-增项S1</t>
  </si>
  <si>
    <t>二开服务号</t>
  </si>
  <si>
    <t>付天宇</t>
  </si>
  <si>
    <t>等牦牛哥再弄一套源码，到时候就不再收费了</t>
  </si>
  <si>
    <t>↘二开服务号新增S1</t>
  </si>
  <si>
    <t>退款了</t>
  </si>
  <si>
    <t>AI本地生活APP</t>
  </si>
  <si>
    <t>刘琳琳</t>
  </si>
  <si>
    <t>深圳一</t>
  </si>
  <si>
    <t>吴文昌</t>
  </si>
  <si>
    <t>15工作日</t>
  </si>
  <si>
    <t>34800.00（项目款29300.00、软著1500、网安3000、备案1000）</t>
  </si>
  <si>
    <t>4月底上线</t>
  </si>
  <si>
    <t>↘AI本地生活app-S1增项</t>
  </si>
  <si>
    <t>5工作日</t>
  </si>
  <si>
    <t>60%40%</t>
  </si>
  <si>
    <t>↘AI本地生活app-S2增项</t>
  </si>
  <si>
    <t>1、项目的尾款是6960
2、ai的增项尾款是3500
3、美团的增项尾款是-800   （已收4800，扣除美团跳转app——1000；扣除用户注册登录短信验证3000）
总的项目尾款是：9660</t>
  </si>
  <si>
    <t>困境儿童APP</t>
  </si>
  <si>
    <t>叶曼茹</t>
  </si>
  <si>
    <t>袁世杰</t>
  </si>
  <si>
    <t>AI留学文书APP</t>
  </si>
  <si>
    <t>邓智婷</t>
  </si>
  <si>
    <t>彭榜其</t>
  </si>
  <si>
    <t>英文单词背诵小程序</t>
  </si>
  <si>
    <t>于世雯</t>
  </si>
  <si>
    <t>张云稳+李耀男</t>
  </si>
  <si>
    <t>宋万里</t>
  </si>
  <si>
    <t>排队返现小程序</t>
  </si>
  <si>
    <t>张云稳</t>
  </si>
  <si>
    <t>40%30%30%</t>
  </si>
  <si>
    <t>街舞原型图</t>
  </si>
  <si>
    <t>王肖宇/何建新</t>
  </si>
  <si>
    <t>↘街舞原型图-S1增项</t>
  </si>
  <si>
    <t>企业微信智能客服</t>
  </si>
  <si>
    <t>任康源</t>
  </si>
  <si>
    <t>杭二</t>
  </si>
  <si>
    <t>董耀恒</t>
  </si>
  <si>
    <t>25工作日</t>
  </si>
  <si>
    <t>30%70%</t>
  </si>
  <si>
    <t>↘企业微信智能客服增项S1</t>
  </si>
  <si>
    <t>70%30%</t>
  </si>
  <si>
    <t>↘企业微信智能客服增项S2</t>
  </si>
  <si>
    <t>数据录入app-2026维护费</t>
  </si>
  <si>
    <t>北京</t>
  </si>
  <si>
    <t>张春宇</t>
  </si>
  <si>
    <t>0工作日</t>
  </si>
  <si>
    <t>全年维护费</t>
  </si>
  <si>
    <t>企业服务小程序</t>
  </si>
  <si>
    <t>王倩倩</t>
  </si>
  <si>
    <t>SERA认知计算系统-AI</t>
  </si>
  <si>
    <t>刘清鸿+龙跃平</t>
  </si>
  <si>
    <t>47工作日</t>
  </si>
  <si>
    <t>30%20%30%20%</t>
  </si>
  <si>
    <t>HelmMind AI</t>
  </si>
  <si>
    <t>彭崇</t>
  </si>
  <si>
    <t>上海</t>
  </si>
  <si>
    <t>欧秀丽</t>
  </si>
  <si>
    <t>↘HelmMind AI-维护合同</t>
  </si>
  <si>
    <t>↘HelmMind AI-S1</t>
  </si>
  <si>
    <t>20工作日</t>
  </si>
  <si>
    <t>30%30%20%20%</t>
  </si>
  <si>
    <t>JP房产管理APP</t>
  </si>
  <si>
    <t>邵广闯</t>
  </si>
  <si>
    <t>60工作日</t>
  </si>
  <si>
    <t>↘JP房产管理APP-S1</t>
  </si>
  <si>
    <t>问诊小程序</t>
  </si>
  <si>
    <t>王灿智</t>
  </si>
  <si>
    <t>原粼→李耀男</t>
  </si>
  <si>
    <t>二维码程序</t>
  </si>
  <si>
    <t>徐英</t>
  </si>
  <si>
    <t>KOL建联管理平台</t>
  </si>
  <si>
    <t>何世祯</t>
  </si>
  <si>
    <t>贺千名/袁晟</t>
  </si>
  <si>
    <t>30%20%20%20%10%</t>
  </si>
  <si>
    <t>电动车租赁页面</t>
  </si>
  <si>
    <t>贾玉龙 6/张振华 4</t>
  </si>
  <si>
    <t>The Second University</t>
  </si>
  <si>
    <t>王自强</t>
  </si>
  <si>
    <t>18工作日</t>
  </si>
  <si>
    <t>↘The Second University-S1</t>
  </si>
  <si>
    <t>AI跨境核算系统</t>
  </si>
  <si>
    <t>李耀林</t>
  </si>
  <si>
    <t>李祥光</t>
  </si>
  <si>
    <t>50%30%10%10%</t>
  </si>
  <si>
    <t>↘AI跨境核算系统-S1</t>
  </si>
  <si>
    <t>企业投标智能化平台</t>
  </si>
  <si>
    <t>郭丹妮9/陈久亿1</t>
  </si>
  <si>
    <t>6个月售后，7月30日要核心测试版</t>
  </si>
  <si>
    <t>AI知识库项目（JOYAI）</t>
  </si>
  <si>
    <t>12工作日</t>
  </si>
  <si>
    <t>AI标书</t>
  </si>
  <si>
    <t>班雪亚</t>
  </si>
  <si>
    <t>西哲萱</t>
  </si>
  <si>
    <t>80工作日</t>
  </si>
  <si>
    <t>30%20%20%30%</t>
  </si>
  <si>
    <t>CRM扫码功能开发</t>
  </si>
  <si>
    <t>5000/3300</t>
  </si>
  <si>
    <t>AI作业批改与家校协同平台</t>
  </si>
  <si>
    <t>刘露</t>
  </si>
  <si>
    <t>陈帅宇</t>
  </si>
  <si>
    <t>Ai智能体聚合引擎</t>
  </si>
  <si>
    <t>广州</t>
  </si>
  <si>
    <t>洪旭霖</t>
  </si>
  <si>
    <t>55工作日</t>
  </si>
  <si>
    <t>标线智汇</t>
  </si>
  <si>
    <t>小程序APP已上线，功能已开发完成，客户验收修改问题中</t>
  </si>
  <si>
    <t>已上线</t>
  </si>
  <si>
    <t>香港医疗预约APP</t>
  </si>
  <si>
    <t>客户已验收，用户测试中，香港支付宝微信支付待客户开通后对接</t>
  </si>
  <si>
    <t>验收完成</t>
  </si>
  <si>
    <t>秒律师APP+小程序</t>
  </si>
  <si>
    <t>3月已交付验收，预计下周收回尾款</t>
  </si>
  <si>
    <t>3月交付</t>
  </si>
  <si>
    <t>海外APP项目</t>
  </si>
  <si>
    <t>UI阶段，客户认为首页设计与别的APP相似，担心审核问题，还在沟通</t>
  </si>
  <si>
    <t>UI阶段</t>
  </si>
  <si>
    <t>蔬菜批发商城</t>
  </si>
  <si>
    <t>纯增项项目，UI阶段，客户住院项目暂时停滞</t>
  </si>
  <si>
    <t>海运服务平台</t>
  </si>
  <si>
    <t>开发完成，2026.4.24已签结项函，预计下周尾款到账</t>
  </si>
  <si>
    <t>开发完成</t>
  </si>
  <si>
    <t>批发商城平台APP</t>
  </si>
  <si>
    <t>3月底交付验收，客户反馈缓慢，每周催促中无反馈，争取5月收回尾款</t>
  </si>
  <si>
    <t>3月底交付</t>
  </si>
  <si>
    <t>楼盘信息发布平台</t>
  </si>
  <si>
    <t>部分接口需客户提供，等待中未给出具体提供时间</t>
  </si>
  <si>
    <t>等接口</t>
  </si>
  <si>
    <t>民赢APP</t>
  </si>
  <si>
    <t>项目严重停滞，客户失联，商务也无法联系，回款时间无法确定</t>
  </si>
  <si>
    <t>严重停滞</t>
  </si>
  <si>
    <t>伊拉克餐饮商城</t>
  </si>
  <si>
    <t>40%30%20%10%</t>
  </si>
  <si>
    <t>项目停滞，等待第三方开发人员提供接口，未给出具体日期</t>
  </si>
  <si>
    <t>停滞</t>
  </si>
  <si>
    <t>机动车检测预约小程序</t>
  </si>
  <si>
    <t>下周应可结束</t>
  </si>
  <si>
    <t>极境本草中药饮片商城</t>
  </si>
  <si>
    <t>客户域名未过，预计到5月</t>
  </si>
  <si>
    <t>东出活动小程序</t>
  </si>
  <si>
    <t>三期四期共￥27,500，三期款商务说下周能给，四期等客户筹备APP上架</t>
  </si>
  <si>
    <t>非洲多商</t>
  </si>
  <si>
    <t>商务联系不上客户</t>
  </si>
  <si>
    <t>综合APP增项</t>
  </si>
  <si>
    <t>客户说付完了，商务要款有点乱，需等周一与商务核对确认</t>
  </si>
  <si>
    <t>黄金回收</t>
  </si>
  <si>
    <t>技术十三部5/技术十五部5</t>
  </si>
  <si>
    <t>↘黄金回收增项S1</t>
  </si>
  <si>
    <t>序号</t>
  </si>
  <si>
    <t>姓名</t>
  </si>
  <si>
    <t>入职时间</t>
  </si>
  <si>
    <t>工种</t>
  </si>
  <si>
    <t>级别</t>
  </si>
  <si>
    <t>在职状态</t>
  </si>
  <si>
    <t>是否转正</t>
  </si>
  <si>
    <t>工资</t>
  </si>
  <si>
    <t>保底</t>
  </si>
  <si>
    <t>社保</t>
  </si>
  <si>
    <t>提成</t>
  </si>
  <si>
    <t>ROI</t>
  </si>
  <si>
    <t>AI应用开发工程师</t>
  </si>
  <si>
    <t>中级</t>
  </si>
  <si>
    <t>在职</t>
  </si>
  <si>
    <t>正式</t>
  </si>
  <si>
    <t>高级</t>
  </si>
  <si>
    <t>试用</t>
  </si>
  <si>
    <t>实习生</t>
  </si>
  <si>
    <t>实习</t>
  </si>
  <si>
    <t>吴二佩</t>
  </si>
  <si>
    <t>Vue</t>
  </si>
  <si>
    <t>离职</t>
  </si>
  <si>
    <t>3月23日离职</t>
  </si>
  <si>
    <t>5月6日离职</t>
  </si>
  <si>
    <t>宋天阳</t>
  </si>
  <si>
    <t>Python</t>
  </si>
  <si>
    <t>5月8日离职</t>
  </si>
  <si>
    <t>前端</t>
  </si>
  <si>
    <t>5月31日离职</t>
  </si>
  <si>
    <t>合计</t>
  </si>
  <si>
    <t>经费池(35%)</t>
  </si>
  <si>
    <t>开发1</t>
  </si>
  <si>
    <t>开发2</t>
  </si>
  <si>
    <t>周期(月)</t>
  </si>
  <si>
    <t>月薪合计</t>
  </si>
  <si>
    <t>社保合计</t>
  </si>
  <si>
    <t>人力成本</t>
  </si>
  <si>
    <t>奖金池</t>
  </si>
  <si>
    <t>每人奖金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</si>
</sst>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&quot;￥&quot;#,##0.00_);[Red]\(&quot;￥&quot;#,##0.00\)"/>
    <numFmt numFmtId="178" formatCode="yyyy&quot;年&quot;m&quot;月&quot;d&quot;日&quot;;@"/>
  </numFmts>
  <fonts count="3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rgb="FFBFBFBF"/>
      <name val="微软雅黑"/>
      <charset val="134"/>
    </font>
    <font>
      <sz val="10"/>
      <color rgb="FFA6A6A6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sz val="11"/>
      <color rgb="FF000000"/>
      <name val="宋体"/>
      <charset val="134"/>
    </font>
    <font>
      <b/>
      <sz val="10"/>
      <color rgb="FF7030A0"/>
      <name val="微软雅黑"/>
      <charset val="134"/>
    </font>
    <font>
      <sz val="10"/>
      <color rgb="FFFF0000"/>
      <name val="微软雅黑"/>
      <charset val="134"/>
    </font>
    <font>
      <strike/>
      <sz val="10"/>
      <color rgb="FFFF0000"/>
      <name val="微软雅黑"/>
      <charset val="134"/>
    </font>
    <font>
      <strike/>
      <sz val="10"/>
      <color theme="1"/>
      <name val="微软雅黑"/>
      <charset val="134"/>
    </font>
    <font>
      <strike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9" fontId="1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right" vertical="center"/>
    </xf>
    <xf numFmtId="177" fontId="3" fillId="0" borderId="2" xfId="0" applyNumberFormat="1" applyFont="1" applyFill="1" applyBorder="1" applyAlignment="1">
      <alignment horizontal="right" vertical="center"/>
    </xf>
    <xf numFmtId="177" fontId="1" fillId="0" borderId="2" xfId="0" applyNumberFormat="1" applyFont="1" applyFill="1" applyBorder="1" applyAlignment="1">
      <alignment horizontal="right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/>
    </xf>
    <xf numFmtId="10" fontId="6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177" fontId="6" fillId="3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1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left" vertical="center"/>
    </xf>
    <xf numFmtId="177" fontId="2" fillId="4" borderId="0" xfId="0" applyNumberFormat="1" applyFont="1" applyFill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vertical="center"/>
    </xf>
    <xf numFmtId="0" fontId="10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8" fillId="0" borderId="0" xfId="0" applyFont="1" applyFill="1" applyAlignment="1"/>
    <xf numFmtId="177" fontId="2" fillId="0" borderId="0" xfId="0" applyNumberFormat="1" applyFont="1" applyFill="1" applyAlignment="1">
      <alignment vertical="center"/>
    </xf>
    <xf numFmtId="177" fontId="1" fillId="5" borderId="0" xfId="0" applyNumberFormat="1" applyFont="1" applyFill="1" applyAlignment="1">
      <alignment vertical="center"/>
    </xf>
    <xf numFmtId="177" fontId="7" fillId="5" borderId="0" xfId="0" applyNumberFormat="1" applyFont="1" applyFill="1" applyAlignment="1">
      <alignment horizontal="center" vertical="center"/>
    </xf>
    <xf numFmtId="58" fontId="2" fillId="0" borderId="0" xfId="0" applyNumberFormat="1" applyFont="1" applyFill="1" applyAlignment="1">
      <alignment horizontal="center" vertical="center"/>
    </xf>
    <xf numFmtId="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  <extLst>
        <ext xmlns:etc="http://www.wps.cn/officeDocument/2017/etCustomData" uri="{F19249F5-4A6E-446B-B59F-E2C9F2DAA1D5}">
          <etc:displayText val="1"/>
        </ext>
      </extLst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9" fontId="2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177" fontId="12" fillId="0" borderId="0" xfId="0" applyNumberFormat="1" applyFont="1" applyFill="1" applyAlignment="1">
      <alignment vertical="center"/>
    </xf>
    <xf numFmtId="10" fontId="12" fillId="0" borderId="0" xfId="0" applyNumberFormat="1" applyFont="1" applyFill="1" applyAlignment="1">
      <alignment vertical="center"/>
    </xf>
    <xf numFmtId="10" fontId="13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177" fontId="12" fillId="5" borderId="0" xfId="0" applyNumberFormat="1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178" fontId="12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177" fontId="2" fillId="5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9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A21" sqref="A21"/>
    </sheetView>
  </sheetViews>
  <sheetFormatPr defaultColWidth="11.3333333333333" defaultRowHeight="19.5"/>
  <cols>
    <col min="1" max="1" width="23.4444444444444" style="1" customWidth="1"/>
    <col min="2" max="2" width="12.3333333333333" style="26"/>
    <col min="3" max="3" width="11.3333333333333" style="27"/>
    <col min="4" max="4" width="11.3333333333333" style="26"/>
    <col min="5" max="5" width="11.3333333333333" style="28"/>
    <col min="6" max="6" width="11.3333333333333" style="27"/>
    <col min="7" max="7" width="13.3333333333333" style="26"/>
    <col min="8" max="9" width="11.3333333333333" style="1"/>
    <col min="10" max="10" width="13.1111111111111" style="29" customWidth="1"/>
    <col min="11" max="11" width="11.3333333333333" style="27"/>
    <col min="12" max="13" width="11.3333333333333" style="26"/>
    <col min="14" max="14" width="13.7037037037037" style="26" customWidth="1"/>
    <col min="15" max="15" width="11.3333333333333" style="54"/>
    <col min="16" max="16" width="11.3333333333333" style="26"/>
    <col min="17" max="18" width="11.3333333333333" style="2"/>
    <col min="19" max="20" width="12" style="30"/>
    <col min="21" max="21" width="11.3333333333333" style="26"/>
    <col min="22" max="22" width="13" style="30"/>
    <col min="23" max="23" width="12" style="30"/>
    <col min="24" max="24" width="11.3333333333333" style="26"/>
    <col min="25" max="25" width="12.2222222222222" style="28" customWidth="1"/>
    <col min="26" max="26" width="13.5555555555556" style="28" customWidth="1"/>
    <col min="27" max="27" width="13.2222222222222" style="28" customWidth="1"/>
    <col min="28" max="28" width="17.1111111111111" style="2" customWidth="1"/>
    <col min="29" max="29" width="36.4444444444444" style="1" customWidth="1"/>
    <col min="30" max="16384" width="11.3333333333333" style="1"/>
  </cols>
  <sheetData>
    <row r="1" s="25" customFormat="1" spans="1:30">
      <c r="A1" s="31" t="s">
        <v>0</v>
      </c>
      <c r="B1" s="32" t="s">
        <v>1</v>
      </c>
      <c r="C1" s="33" t="s">
        <v>2</v>
      </c>
      <c r="D1" s="34" t="s">
        <v>3</v>
      </c>
      <c r="E1" s="35" t="s">
        <v>4</v>
      </c>
      <c r="F1" s="33" t="s">
        <v>5</v>
      </c>
      <c r="G1" s="34" t="s">
        <v>6</v>
      </c>
      <c r="H1" s="31" t="s">
        <v>7</v>
      </c>
      <c r="I1" s="31" t="s">
        <v>8</v>
      </c>
      <c r="J1" s="31" t="s">
        <v>9</v>
      </c>
      <c r="K1" s="33" t="s">
        <v>10</v>
      </c>
      <c r="L1" s="34" t="s">
        <v>11</v>
      </c>
      <c r="M1" s="34" t="s">
        <v>12</v>
      </c>
      <c r="N1" s="34" t="s">
        <v>13</v>
      </c>
      <c r="O1" s="55" t="s">
        <v>14</v>
      </c>
      <c r="P1" s="34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8" t="s">
        <v>21</v>
      </c>
      <c r="W1" s="39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40" t="s">
        <v>28</v>
      </c>
      <c r="AD1" s="40" t="s">
        <v>29</v>
      </c>
    </row>
    <row r="2" spans="1:30">
      <c r="A2" s="49" t="s">
        <v>30</v>
      </c>
      <c r="B2" s="26">
        <v>3000</v>
      </c>
      <c r="C2" s="27">
        <v>0.35</v>
      </c>
      <c r="D2" s="26">
        <f t="shared" ref="D2:D49" si="0">B2*C2</f>
        <v>1050</v>
      </c>
      <c r="E2" s="44" t="s">
        <v>31</v>
      </c>
      <c r="F2" s="27">
        <v>0</v>
      </c>
      <c r="G2" s="26">
        <f t="shared" ref="G2:G11" si="1">B2*F2</f>
        <v>0</v>
      </c>
      <c r="H2" s="43">
        <v>1</v>
      </c>
      <c r="I2" s="1">
        <v>0.33</v>
      </c>
      <c r="J2" s="44" t="s">
        <v>31</v>
      </c>
      <c r="K2" s="27">
        <v>0.05</v>
      </c>
      <c r="L2" s="26">
        <f t="shared" ref="L2:L49" si="2">B2*K2</f>
        <v>150</v>
      </c>
      <c r="M2" s="26">
        <f t="shared" ref="M2:M49" si="3">L2/H2</f>
        <v>150</v>
      </c>
      <c r="N2" s="26">
        <f t="shared" ref="N2:N49" si="4">M2/I2</f>
        <v>454.545454545455</v>
      </c>
      <c r="O2" s="54">
        <f>8000*H2*I2+G2+L2</f>
        <v>2790</v>
      </c>
      <c r="P2" s="26">
        <f t="shared" ref="P2:P49" si="5">D2-O2</f>
        <v>-1740</v>
      </c>
      <c r="Q2" s="45" t="s">
        <v>32</v>
      </c>
      <c r="R2" s="45" t="s">
        <v>33</v>
      </c>
      <c r="S2" s="30">
        <v>46056</v>
      </c>
      <c r="T2" s="30">
        <v>46062</v>
      </c>
      <c r="U2" s="46" t="s">
        <v>34</v>
      </c>
      <c r="V2" s="30">
        <f t="shared" ref="V2:V7" si="6">WORKDAY(T2,SUBSTITUTE(U2,"工作日",""))</f>
        <v>46076</v>
      </c>
      <c r="W2" s="30">
        <v>46067</v>
      </c>
      <c r="X2" s="26">
        <v>1500</v>
      </c>
      <c r="Y2" s="26">
        <v>1500</v>
      </c>
      <c r="Z2" s="47" t="s">
        <v>35</v>
      </c>
      <c r="AA2" s="47" t="s">
        <v>35</v>
      </c>
      <c r="AB2" s="56" t="s">
        <v>36</v>
      </c>
      <c r="AD2" s="1" t="s">
        <v>37</v>
      </c>
    </row>
    <row r="3" spans="1:30">
      <c r="A3" s="49" t="s">
        <v>38</v>
      </c>
      <c r="B3" s="26">
        <v>500</v>
      </c>
      <c r="C3" s="27">
        <v>0.35</v>
      </c>
      <c r="D3" s="26">
        <f t="shared" si="0"/>
        <v>175</v>
      </c>
      <c r="E3" s="44" t="s">
        <v>31</v>
      </c>
      <c r="F3" s="27">
        <v>0</v>
      </c>
      <c r="G3" s="26">
        <f t="shared" si="1"/>
        <v>0</v>
      </c>
      <c r="H3" s="43">
        <v>1</v>
      </c>
      <c r="I3" s="1">
        <v>0.05</v>
      </c>
      <c r="J3" s="44" t="s">
        <v>31</v>
      </c>
      <c r="K3" s="27">
        <v>0.05</v>
      </c>
      <c r="L3" s="26">
        <f t="shared" si="2"/>
        <v>25</v>
      </c>
      <c r="M3" s="26">
        <f t="shared" si="3"/>
        <v>25</v>
      </c>
      <c r="N3" s="26">
        <f t="shared" si="4"/>
        <v>500</v>
      </c>
      <c r="O3" s="54">
        <f t="shared" ref="O3:O33" si="7">8000*H3*I3+G3+L3</f>
        <v>425</v>
      </c>
      <c r="P3" s="26">
        <f t="shared" si="5"/>
        <v>-250</v>
      </c>
      <c r="Q3" s="45" t="s">
        <v>32</v>
      </c>
      <c r="R3" s="45" t="s">
        <v>33</v>
      </c>
      <c r="S3" s="30">
        <v>46077</v>
      </c>
      <c r="T3" s="30">
        <v>46077</v>
      </c>
      <c r="U3" s="46" t="s">
        <v>39</v>
      </c>
      <c r="V3" s="30">
        <f t="shared" si="6"/>
        <v>46078</v>
      </c>
      <c r="W3" s="30">
        <v>46078</v>
      </c>
      <c r="X3" s="26">
        <v>500</v>
      </c>
      <c r="Y3" s="47" t="s">
        <v>35</v>
      </c>
      <c r="Z3" s="47" t="s">
        <v>35</v>
      </c>
      <c r="AA3" s="47" t="s">
        <v>35</v>
      </c>
      <c r="AB3" s="57">
        <v>1</v>
      </c>
      <c r="AC3" s="43" t="s">
        <v>40</v>
      </c>
    </row>
    <row r="4" spans="1:30">
      <c r="A4" s="49" t="s">
        <v>41</v>
      </c>
      <c r="B4" s="26">
        <v>2500</v>
      </c>
      <c r="C4" s="27">
        <v>0.35</v>
      </c>
      <c r="D4" s="26">
        <f t="shared" si="0"/>
        <v>875</v>
      </c>
      <c r="E4" s="44" t="s">
        <v>31</v>
      </c>
      <c r="F4" s="27">
        <v>0</v>
      </c>
      <c r="G4" s="26">
        <f t="shared" si="1"/>
        <v>0</v>
      </c>
      <c r="H4" s="43">
        <v>1</v>
      </c>
      <c r="I4" s="1">
        <v>0.05</v>
      </c>
      <c r="J4" s="44" t="s">
        <v>31</v>
      </c>
      <c r="K4" s="27">
        <v>0.05</v>
      </c>
      <c r="L4" s="26">
        <f t="shared" si="2"/>
        <v>125</v>
      </c>
      <c r="M4" s="26">
        <f t="shared" si="3"/>
        <v>125</v>
      </c>
      <c r="N4" s="26">
        <f t="shared" si="4"/>
        <v>2500</v>
      </c>
      <c r="O4" s="54">
        <f t="shared" si="7"/>
        <v>525</v>
      </c>
      <c r="P4" s="26">
        <f t="shared" si="5"/>
        <v>350</v>
      </c>
      <c r="Q4" s="45" t="s">
        <v>32</v>
      </c>
      <c r="R4" s="45" t="s">
        <v>33</v>
      </c>
      <c r="S4" s="30">
        <v>46083</v>
      </c>
      <c r="T4" s="30">
        <v>46083</v>
      </c>
      <c r="U4" s="46" t="s">
        <v>42</v>
      </c>
      <c r="V4" s="30">
        <f t="shared" si="6"/>
        <v>46092</v>
      </c>
      <c r="W4" s="30">
        <v>46091</v>
      </c>
      <c r="X4" s="26">
        <v>2500</v>
      </c>
      <c r="Y4" s="47" t="s">
        <v>35</v>
      </c>
      <c r="Z4" s="47" t="s">
        <v>35</v>
      </c>
      <c r="AA4" s="47" t="s">
        <v>35</v>
      </c>
      <c r="AB4" s="57">
        <v>1</v>
      </c>
      <c r="AC4" s="58" t="s">
        <v>43</v>
      </c>
    </row>
    <row r="5" ht="69" spans="1:30">
      <c r="A5" s="49" t="s">
        <v>44</v>
      </c>
      <c r="B5" s="26">
        <v>1000</v>
      </c>
      <c r="C5" s="27">
        <v>0.35</v>
      </c>
      <c r="D5" s="26">
        <f t="shared" si="0"/>
        <v>350</v>
      </c>
      <c r="E5" s="44" t="s">
        <v>31</v>
      </c>
      <c r="F5" s="27">
        <v>0</v>
      </c>
      <c r="G5" s="26">
        <f t="shared" si="1"/>
        <v>0</v>
      </c>
      <c r="H5" s="43">
        <v>1</v>
      </c>
      <c r="I5" s="1">
        <v>0.05</v>
      </c>
      <c r="J5" s="44" t="s">
        <v>31</v>
      </c>
      <c r="K5" s="27">
        <v>0.05</v>
      </c>
      <c r="L5" s="26">
        <f t="shared" si="2"/>
        <v>50</v>
      </c>
      <c r="M5" s="26">
        <f t="shared" si="3"/>
        <v>50</v>
      </c>
      <c r="N5" s="26">
        <f t="shared" si="4"/>
        <v>1000</v>
      </c>
      <c r="O5" s="54">
        <f t="shared" si="7"/>
        <v>450</v>
      </c>
      <c r="P5" s="26">
        <f t="shared" si="5"/>
        <v>-100</v>
      </c>
      <c r="Q5" s="45" t="s">
        <v>32</v>
      </c>
      <c r="R5" s="45" t="s">
        <v>33</v>
      </c>
      <c r="S5" s="30">
        <v>46109</v>
      </c>
      <c r="T5" s="30">
        <v>46109</v>
      </c>
      <c r="U5" s="46" t="s">
        <v>45</v>
      </c>
      <c r="V5" s="30">
        <f t="shared" si="6"/>
        <v>46112</v>
      </c>
      <c r="W5" s="30">
        <v>46111</v>
      </c>
      <c r="X5" s="26">
        <v>1000</v>
      </c>
      <c r="Y5" s="47" t="s">
        <v>35</v>
      </c>
      <c r="Z5" s="47" t="s">
        <v>35</v>
      </c>
      <c r="AA5" s="47" t="s">
        <v>35</v>
      </c>
      <c r="AB5" s="57">
        <v>1</v>
      </c>
      <c r="AC5" s="59" t="s">
        <v>46</v>
      </c>
    </row>
    <row r="6" spans="1:30">
      <c r="A6" s="49" t="s">
        <v>47</v>
      </c>
      <c r="B6" s="26">
        <v>22000</v>
      </c>
      <c r="C6" s="27">
        <v>0.35</v>
      </c>
      <c r="D6" s="26">
        <f t="shared" si="0"/>
        <v>7700</v>
      </c>
      <c r="E6" s="44" t="s">
        <v>31</v>
      </c>
      <c r="F6" s="27">
        <v>0.002</v>
      </c>
      <c r="G6" s="26">
        <f t="shared" si="1"/>
        <v>44</v>
      </c>
      <c r="H6" s="43">
        <v>1</v>
      </c>
      <c r="I6" s="1">
        <v>0.083</v>
      </c>
      <c r="J6" s="42" t="s">
        <v>48</v>
      </c>
      <c r="K6" s="27">
        <v>0.05</v>
      </c>
      <c r="L6" s="26">
        <f t="shared" si="2"/>
        <v>1100</v>
      </c>
      <c r="M6" s="26">
        <f t="shared" si="3"/>
        <v>1100</v>
      </c>
      <c r="N6" s="26">
        <f t="shared" si="4"/>
        <v>13253.0120481928</v>
      </c>
      <c r="O6" s="54" t="e">
        <f>人员工资!#REF!*H6*I6+G6+L6</f>
        <v>#REF!</v>
      </c>
      <c r="P6" s="26" t="e">
        <f t="shared" si="5"/>
        <v>#REF!</v>
      </c>
      <c r="Q6" s="45" t="s">
        <v>49</v>
      </c>
      <c r="R6" s="45" t="s">
        <v>50</v>
      </c>
      <c r="S6" s="30">
        <v>46085</v>
      </c>
      <c r="T6" s="30">
        <v>46097</v>
      </c>
      <c r="U6" s="46" t="s">
        <v>51</v>
      </c>
      <c r="V6" s="30">
        <f t="shared" si="6"/>
        <v>46139</v>
      </c>
      <c r="W6" s="30">
        <v>46114</v>
      </c>
      <c r="X6" s="26">
        <v>11000</v>
      </c>
      <c r="Y6" s="26">
        <v>6600</v>
      </c>
      <c r="Z6" s="26">
        <v>4400</v>
      </c>
      <c r="AA6" s="47" t="s">
        <v>35</v>
      </c>
      <c r="AB6" s="45" t="s">
        <v>52</v>
      </c>
      <c r="AC6" s="43" t="s">
        <v>53</v>
      </c>
      <c r="AD6" s="43" t="s">
        <v>54</v>
      </c>
    </row>
    <row r="7" spans="1:30">
      <c r="A7" s="49" t="s">
        <v>55</v>
      </c>
      <c r="B7" s="26">
        <v>2000</v>
      </c>
      <c r="C7" s="27">
        <v>0.35</v>
      </c>
      <c r="D7" s="26">
        <f t="shared" si="0"/>
        <v>700</v>
      </c>
      <c r="E7" s="42" t="s">
        <v>48</v>
      </c>
      <c r="F7" s="27">
        <v>0.002</v>
      </c>
      <c r="G7" s="26">
        <f t="shared" si="1"/>
        <v>4</v>
      </c>
      <c r="H7" s="43">
        <v>1</v>
      </c>
      <c r="I7" s="1">
        <v>0.083</v>
      </c>
      <c r="J7" s="42" t="s">
        <v>48</v>
      </c>
      <c r="K7" s="27">
        <v>0.05</v>
      </c>
      <c r="L7" s="26">
        <f t="shared" si="2"/>
        <v>100</v>
      </c>
      <c r="M7" s="26">
        <f t="shared" si="3"/>
        <v>100</v>
      </c>
      <c r="N7" s="26">
        <f t="shared" si="4"/>
        <v>1204.81927710843</v>
      </c>
      <c r="O7" s="54" t="e">
        <f>人员工资!#REF!*H7*I7+G7+L7</f>
        <v>#REF!</v>
      </c>
      <c r="P7" s="26" t="e">
        <f t="shared" si="5"/>
        <v>#REF!</v>
      </c>
      <c r="Q7" s="45" t="s">
        <v>49</v>
      </c>
      <c r="R7" s="45" t="s">
        <v>50</v>
      </c>
      <c r="S7" s="30">
        <v>46108</v>
      </c>
      <c r="T7" s="30">
        <v>46108</v>
      </c>
      <c r="U7" s="46" t="s">
        <v>56</v>
      </c>
      <c r="V7" s="30">
        <f t="shared" si="6"/>
        <v>46113</v>
      </c>
      <c r="W7" s="30">
        <v>46114</v>
      </c>
      <c r="X7" s="26">
        <v>1000</v>
      </c>
      <c r="Y7" s="44">
        <v>1000</v>
      </c>
      <c r="Z7" s="47" t="s">
        <v>35</v>
      </c>
      <c r="AA7" s="47" t="s">
        <v>35</v>
      </c>
      <c r="AB7" s="56" t="s">
        <v>36</v>
      </c>
      <c r="AC7" s="43" t="s">
        <v>53</v>
      </c>
    </row>
    <row r="8" spans="1:30">
      <c r="A8" s="43" t="s">
        <v>57</v>
      </c>
      <c r="B8" s="26">
        <f>167600*40%</f>
        <v>67040</v>
      </c>
      <c r="C8" s="27">
        <v>0.35</v>
      </c>
      <c r="D8" s="26">
        <f t="shared" si="0"/>
        <v>23464</v>
      </c>
      <c r="E8" s="42" t="s">
        <v>58</v>
      </c>
      <c r="F8" s="27">
        <v>0.002</v>
      </c>
      <c r="G8" s="26">
        <f t="shared" si="1"/>
        <v>134.08</v>
      </c>
      <c r="H8" s="43">
        <v>1</v>
      </c>
      <c r="I8" s="1">
        <v>2</v>
      </c>
      <c r="J8" s="42" t="s">
        <v>48</v>
      </c>
      <c r="K8" s="27">
        <v>0.05</v>
      </c>
      <c r="L8" s="26">
        <f t="shared" si="2"/>
        <v>3352</v>
      </c>
      <c r="M8" s="26">
        <f t="shared" si="3"/>
        <v>3352</v>
      </c>
      <c r="N8" s="26">
        <f t="shared" si="4"/>
        <v>1676</v>
      </c>
      <c r="O8" s="54">
        <f t="shared" si="7"/>
        <v>19486.08</v>
      </c>
      <c r="P8" s="26">
        <f t="shared" si="5"/>
        <v>3977.92</v>
      </c>
      <c r="Q8" s="45" t="s">
        <v>32</v>
      </c>
      <c r="R8" s="45" t="s">
        <v>59</v>
      </c>
      <c r="S8" s="30">
        <v>46081</v>
      </c>
      <c r="U8" s="60" t="s">
        <v>60</v>
      </c>
      <c r="X8" s="26">
        <f>50280*40%</f>
        <v>20112</v>
      </c>
      <c r="Y8" s="26"/>
      <c r="Z8" s="26"/>
      <c r="AA8" s="26"/>
      <c r="AB8" s="45" t="s">
        <v>61</v>
      </c>
      <c r="AC8" s="43" t="s">
        <v>62</v>
      </c>
    </row>
    <row r="9" spans="1:30">
      <c r="A9" s="49" t="s">
        <v>63</v>
      </c>
      <c r="B9" s="26">
        <v>45000</v>
      </c>
      <c r="C9" s="27">
        <v>0.35</v>
      </c>
      <c r="D9" s="26">
        <f t="shared" si="0"/>
        <v>15750</v>
      </c>
      <c r="E9" s="44" t="s">
        <v>64</v>
      </c>
      <c r="F9" s="27">
        <v>0.002</v>
      </c>
      <c r="G9" s="26">
        <f t="shared" si="1"/>
        <v>90</v>
      </c>
      <c r="H9" s="43">
        <v>1</v>
      </c>
      <c r="I9" s="1">
        <v>1</v>
      </c>
      <c r="J9" s="42" t="s">
        <v>65</v>
      </c>
      <c r="K9" s="27">
        <v>0.05</v>
      </c>
      <c r="L9" s="26">
        <f t="shared" si="2"/>
        <v>2250</v>
      </c>
      <c r="M9" s="26">
        <f t="shared" si="3"/>
        <v>2250</v>
      </c>
      <c r="N9" s="26">
        <f t="shared" si="4"/>
        <v>2250</v>
      </c>
      <c r="O9" s="54">
        <f t="shared" si="7"/>
        <v>10340</v>
      </c>
      <c r="P9" s="26">
        <f t="shared" si="5"/>
        <v>5410</v>
      </c>
      <c r="Q9" s="45" t="s">
        <v>32</v>
      </c>
      <c r="R9" s="45" t="s">
        <v>66</v>
      </c>
      <c r="S9" s="30">
        <v>46085</v>
      </c>
      <c r="T9" s="30">
        <v>46106</v>
      </c>
      <c r="U9" s="60" t="s">
        <v>67</v>
      </c>
      <c r="V9" s="30">
        <f t="shared" ref="V9:V19" si="8">WORKDAY(T9,SUBSTITUTE(U9,"工作日",""))</f>
        <v>46155</v>
      </c>
      <c r="X9" s="26">
        <v>22500</v>
      </c>
      <c r="Y9" s="5">
        <v>13500</v>
      </c>
      <c r="Z9" s="26">
        <v>9000</v>
      </c>
      <c r="AA9" s="47" t="s">
        <v>35</v>
      </c>
      <c r="AB9" s="45" t="s">
        <v>52</v>
      </c>
      <c r="AC9" s="43"/>
      <c r="AD9" s="1" t="s">
        <v>68</v>
      </c>
    </row>
    <row r="10" spans="1:30">
      <c r="A10" s="49" t="s">
        <v>69</v>
      </c>
      <c r="B10" s="26">
        <v>110000</v>
      </c>
      <c r="C10" s="27">
        <v>0.35</v>
      </c>
      <c r="D10" s="26">
        <f t="shared" si="0"/>
        <v>38500</v>
      </c>
      <c r="E10" s="44" t="s">
        <v>65</v>
      </c>
      <c r="F10" s="27">
        <v>0</v>
      </c>
      <c r="G10" s="26">
        <f t="shared" si="1"/>
        <v>0</v>
      </c>
      <c r="H10" s="43">
        <v>1</v>
      </c>
      <c r="I10" s="1">
        <v>1</v>
      </c>
      <c r="J10" s="44" t="s">
        <v>65</v>
      </c>
      <c r="K10" s="27">
        <v>0.1</v>
      </c>
      <c r="L10" s="26">
        <f t="shared" si="2"/>
        <v>11000</v>
      </c>
      <c r="M10" s="26">
        <f t="shared" si="3"/>
        <v>11000</v>
      </c>
      <c r="N10" s="26">
        <f t="shared" si="4"/>
        <v>11000</v>
      </c>
      <c r="O10" s="54">
        <f t="shared" si="7"/>
        <v>19000</v>
      </c>
      <c r="P10" s="26">
        <f t="shared" si="5"/>
        <v>19500</v>
      </c>
      <c r="Q10" s="45" t="s">
        <v>70</v>
      </c>
      <c r="R10" s="45" t="s">
        <v>71</v>
      </c>
      <c r="S10" s="30">
        <v>46104</v>
      </c>
      <c r="T10" s="30">
        <v>46108</v>
      </c>
      <c r="U10" s="46" t="s">
        <v>72</v>
      </c>
      <c r="V10" s="30">
        <f t="shared" si="8"/>
        <v>46178</v>
      </c>
      <c r="W10" s="30">
        <v>46142</v>
      </c>
      <c r="X10" s="26">
        <v>33000</v>
      </c>
      <c r="Y10" s="26">
        <v>22000</v>
      </c>
      <c r="Z10" s="44">
        <v>44000</v>
      </c>
      <c r="AA10" s="44">
        <v>11000</v>
      </c>
      <c r="AB10" s="45" t="s">
        <v>73</v>
      </c>
      <c r="AC10" s="43" t="s">
        <v>74</v>
      </c>
      <c r="AD10" s="1" t="s">
        <v>75</v>
      </c>
    </row>
    <row r="11" spans="1:30">
      <c r="A11" s="61" t="s">
        <v>76</v>
      </c>
      <c r="B11" s="26">
        <v>5500</v>
      </c>
      <c r="C11" s="27">
        <v>0.35</v>
      </c>
      <c r="D11" s="26">
        <f t="shared" si="0"/>
        <v>1925</v>
      </c>
      <c r="E11" s="44" t="s">
        <v>77</v>
      </c>
      <c r="F11" s="27">
        <v>0</v>
      </c>
      <c r="G11" s="26">
        <f t="shared" si="1"/>
        <v>0</v>
      </c>
      <c r="H11" s="43">
        <v>1</v>
      </c>
      <c r="I11" s="1">
        <v>1</v>
      </c>
      <c r="J11" s="42" t="s">
        <v>77</v>
      </c>
      <c r="K11" s="27">
        <v>0.03</v>
      </c>
      <c r="L11" s="26">
        <f t="shared" si="2"/>
        <v>165</v>
      </c>
      <c r="M11" s="26">
        <f t="shared" si="3"/>
        <v>165</v>
      </c>
      <c r="N11" s="26">
        <f t="shared" si="4"/>
        <v>165</v>
      </c>
      <c r="O11" s="54">
        <f t="shared" si="7"/>
        <v>8165</v>
      </c>
      <c r="P11" s="26">
        <f t="shared" si="5"/>
        <v>-6240</v>
      </c>
      <c r="Q11" s="45" t="s">
        <v>32</v>
      </c>
      <c r="R11" s="45" t="s">
        <v>78</v>
      </c>
      <c r="S11" s="30">
        <v>46107</v>
      </c>
      <c r="T11" s="30">
        <v>46123</v>
      </c>
      <c r="U11" s="46" t="s">
        <v>42</v>
      </c>
      <c r="V11" s="30">
        <f t="shared" si="8"/>
        <v>46133</v>
      </c>
      <c r="X11" s="26">
        <v>2750</v>
      </c>
      <c r="Y11" s="26"/>
      <c r="Z11" s="47" t="s">
        <v>35</v>
      </c>
      <c r="AA11" s="47" t="s">
        <v>35</v>
      </c>
      <c r="AB11" s="56" t="s">
        <v>36</v>
      </c>
      <c r="AC11" s="61" t="s">
        <v>79</v>
      </c>
      <c r="AD11" s="43" t="s">
        <v>80</v>
      </c>
    </row>
    <row r="12" spans="1:30">
      <c r="A12" s="49" t="s">
        <v>81</v>
      </c>
      <c r="B12" s="26">
        <v>52750</v>
      </c>
      <c r="C12" s="27">
        <v>0.35</v>
      </c>
      <c r="D12" s="26">
        <f t="shared" si="0"/>
        <v>18462.5</v>
      </c>
      <c r="E12" s="42" t="s">
        <v>82</v>
      </c>
      <c r="F12" s="27">
        <v>0.1</v>
      </c>
      <c r="G12" s="26">
        <f t="shared" ref="G12:G49" si="9">L12*F12</f>
        <v>158.25</v>
      </c>
      <c r="H12" s="43">
        <v>1</v>
      </c>
      <c r="I12" s="1">
        <v>1</v>
      </c>
      <c r="J12" s="42" t="s">
        <v>83</v>
      </c>
      <c r="K12" s="27">
        <v>0.03</v>
      </c>
      <c r="L12" s="26">
        <f t="shared" si="2"/>
        <v>1582.5</v>
      </c>
      <c r="M12" s="26">
        <f t="shared" si="3"/>
        <v>1582.5</v>
      </c>
      <c r="N12" s="26">
        <f t="shared" si="4"/>
        <v>1582.5</v>
      </c>
      <c r="O12" s="54">
        <f t="shared" si="7"/>
        <v>9740.75</v>
      </c>
      <c r="P12" s="26">
        <f t="shared" si="5"/>
        <v>8721.75</v>
      </c>
      <c r="Q12" s="45" t="s">
        <v>70</v>
      </c>
      <c r="R12" s="45" t="s">
        <v>84</v>
      </c>
      <c r="S12" s="30">
        <v>46111</v>
      </c>
      <c r="T12" s="30">
        <v>46126</v>
      </c>
      <c r="U12" s="60" t="s">
        <v>67</v>
      </c>
      <c r="V12" s="30">
        <f t="shared" si="8"/>
        <v>46175</v>
      </c>
      <c r="W12" s="30">
        <v>46160</v>
      </c>
      <c r="X12" s="26">
        <v>26375</v>
      </c>
      <c r="Y12" s="26">
        <v>15825</v>
      </c>
      <c r="Z12" s="28">
        <v>10550</v>
      </c>
      <c r="AA12" s="47" t="s">
        <v>35</v>
      </c>
      <c r="AB12" s="45" t="s">
        <v>52</v>
      </c>
      <c r="AD12" s="1" t="s">
        <v>85</v>
      </c>
    </row>
    <row r="13" spans="1:30">
      <c r="A13" s="49" t="s">
        <v>86</v>
      </c>
      <c r="B13" s="26">
        <v>1500</v>
      </c>
      <c r="C13" s="27">
        <v>0.35</v>
      </c>
      <c r="D13" s="26">
        <f t="shared" si="0"/>
        <v>525</v>
      </c>
      <c r="E13" s="42" t="s">
        <v>82</v>
      </c>
      <c r="F13" s="27">
        <v>0.1</v>
      </c>
      <c r="G13" s="26">
        <f t="shared" si="9"/>
        <v>4.5</v>
      </c>
      <c r="H13" s="43">
        <v>1</v>
      </c>
      <c r="I13" s="1">
        <v>1</v>
      </c>
      <c r="J13" s="42" t="s">
        <v>83</v>
      </c>
      <c r="K13" s="27">
        <v>0.03</v>
      </c>
      <c r="L13" s="26">
        <f t="shared" si="2"/>
        <v>45</v>
      </c>
      <c r="M13" s="26">
        <f t="shared" si="3"/>
        <v>45</v>
      </c>
      <c r="N13" s="26">
        <f t="shared" si="4"/>
        <v>45</v>
      </c>
      <c r="O13" s="54">
        <f t="shared" si="7"/>
        <v>8049.5</v>
      </c>
      <c r="P13" s="26">
        <f t="shared" si="5"/>
        <v>-7524.5</v>
      </c>
      <c r="Q13" s="45"/>
      <c r="R13" s="45" t="s">
        <v>84</v>
      </c>
      <c r="S13" s="30">
        <v>46125</v>
      </c>
      <c r="T13" s="30">
        <v>46126</v>
      </c>
      <c r="U13" s="60" t="s">
        <v>42</v>
      </c>
      <c r="V13" s="30">
        <f t="shared" si="8"/>
        <v>46135</v>
      </c>
      <c r="W13" s="30">
        <v>46160</v>
      </c>
      <c r="X13" s="26">
        <v>1500</v>
      </c>
      <c r="Y13" s="44" t="s">
        <v>35</v>
      </c>
      <c r="Z13" s="47" t="s">
        <v>35</v>
      </c>
      <c r="AA13" s="47" t="s">
        <v>35</v>
      </c>
      <c r="AB13" s="62">
        <v>1</v>
      </c>
    </row>
    <row r="14" spans="1:30">
      <c r="A14" s="61" t="s">
        <v>87</v>
      </c>
      <c r="B14" s="26">
        <v>2000</v>
      </c>
      <c r="C14" s="27">
        <v>0.35</v>
      </c>
      <c r="D14" s="26">
        <f t="shared" si="0"/>
        <v>700</v>
      </c>
      <c r="E14" s="42" t="s">
        <v>48</v>
      </c>
      <c r="F14" s="27">
        <v>0.1</v>
      </c>
      <c r="G14" s="26">
        <f t="shared" si="9"/>
        <v>6</v>
      </c>
      <c r="H14" s="43">
        <v>1</v>
      </c>
      <c r="I14" s="1">
        <v>1</v>
      </c>
      <c r="J14" s="42" t="s">
        <v>48</v>
      </c>
      <c r="K14" s="27">
        <v>0.03</v>
      </c>
      <c r="L14" s="26">
        <f t="shared" si="2"/>
        <v>60</v>
      </c>
      <c r="M14" s="26">
        <f t="shared" si="3"/>
        <v>60</v>
      </c>
      <c r="N14" s="26">
        <f t="shared" si="4"/>
        <v>60</v>
      </c>
      <c r="O14" s="54">
        <f t="shared" si="7"/>
        <v>8066</v>
      </c>
      <c r="P14" s="26">
        <f t="shared" si="5"/>
        <v>-7366</v>
      </c>
      <c r="Q14" s="45" t="s">
        <v>32</v>
      </c>
      <c r="R14" s="45" t="s">
        <v>88</v>
      </c>
      <c r="S14" s="30">
        <v>46114</v>
      </c>
      <c r="T14" s="30">
        <v>46114</v>
      </c>
      <c r="U14" s="60" t="s">
        <v>39</v>
      </c>
      <c r="V14" s="30">
        <f t="shared" si="8"/>
        <v>46115</v>
      </c>
      <c r="X14" s="26">
        <v>1000</v>
      </c>
      <c r="Y14" s="26"/>
      <c r="Z14" s="47" t="s">
        <v>35</v>
      </c>
      <c r="AA14" s="47" t="s">
        <v>35</v>
      </c>
      <c r="AB14" s="56" t="s">
        <v>36</v>
      </c>
      <c r="AC14" s="61" t="s">
        <v>89</v>
      </c>
    </row>
    <row r="15" spans="1:30">
      <c r="A15" s="63" t="s">
        <v>90</v>
      </c>
      <c r="B15" s="64">
        <v>1000</v>
      </c>
      <c r="C15" s="65">
        <v>0.35</v>
      </c>
      <c r="D15" s="64">
        <f t="shared" si="0"/>
        <v>350</v>
      </c>
      <c r="E15" s="66" t="s">
        <v>48</v>
      </c>
      <c r="F15" s="27">
        <v>0.1</v>
      </c>
      <c r="G15" s="26">
        <f t="shared" si="9"/>
        <v>5</v>
      </c>
      <c r="H15" s="67">
        <v>1</v>
      </c>
      <c r="I15" s="68">
        <v>1</v>
      </c>
      <c r="J15" s="66" t="s">
        <v>48</v>
      </c>
      <c r="K15" s="65">
        <v>0.05</v>
      </c>
      <c r="L15" s="64">
        <f t="shared" si="2"/>
        <v>50</v>
      </c>
      <c r="M15" s="64">
        <f t="shared" si="3"/>
        <v>50</v>
      </c>
      <c r="N15" s="64">
        <f t="shared" si="4"/>
        <v>50</v>
      </c>
      <c r="O15" s="69">
        <f t="shared" si="7"/>
        <v>8055</v>
      </c>
      <c r="P15" s="64">
        <f t="shared" si="5"/>
        <v>-7705</v>
      </c>
      <c r="Q15" s="70" t="s">
        <v>32</v>
      </c>
      <c r="R15" s="70" t="s">
        <v>88</v>
      </c>
      <c r="S15" s="71">
        <v>46114</v>
      </c>
      <c r="T15" s="71">
        <v>46114</v>
      </c>
      <c r="U15" s="72" t="s">
        <v>39</v>
      </c>
      <c r="V15" s="71">
        <f t="shared" si="8"/>
        <v>46115</v>
      </c>
      <c r="W15" s="71"/>
      <c r="X15" s="26">
        <v>500</v>
      </c>
      <c r="Y15" s="26">
        <v>-500</v>
      </c>
      <c r="Z15" s="47" t="s">
        <v>35</v>
      </c>
      <c r="AA15" s="47" t="s">
        <v>35</v>
      </c>
      <c r="AB15" s="56" t="s">
        <v>36</v>
      </c>
      <c r="AC15" s="43" t="s">
        <v>91</v>
      </c>
    </row>
    <row r="16" ht="36" spans="1:30">
      <c r="A16" s="49" t="s">
        <v>92</v>
      </c>
      <c r="B16" s="26">
        <v>29300</v>
      </c>
      <c r="C16" s="27">
        <v>0.35</v>
      </c>
      <c r="D16" s="26">
        <f t="shared" si="0"/>
        <v>10255</v>
      </c>
      <c r="E16" s="42" t="s">
        <v>93</v>
      </c>
      <c r="F16" s="27">
        <v>0</v>
      </c>
      <c r="G16" s="26">
        <f t="shared" si="9"/>
        <v>0</v>
      </c>
      <c r="H16" s="43">
        <v>1</v>
      </c>
      <c r="I16" s="1">
        <v>1</v>
      </c>
      <c r="J16" s="42" t="s">
        <v>93</v>
      </c>
      <c r="K16" s="27">
        <v>0.05</v>
      </c>
      <c r="L16" s="26">
        <f t="shared" si="2"/>
        <v>1465</v>
      </c>
      <c r="M16" s="26">
        <f t="shared" si="3"/>
        <v>1465</v>
      </c>
      <c r="N16" s="26">
        <f t="shared" si="4"/>
        <v>1465</v>
      </c>
      <c r="O16" s="54">
        <f t="shared" si="7"/>
        <v>9465</v>
      </c>
      <c r="P16" s="26">
        <f t="shared" si="5"/>
        <v>790</v>
      </c>
      <c r="Q16" s="45" t="s">
        <v>94</v>
      </c>
      <c r="R16" s="45" t="s">
        <v>95</v>
      </c>
      <c r="S16" s="30">
        <v>46125</v>
      </c>
      <c r="T16" s="30">
        <v>46128</v>
      </c>
      <c r="U16" s="60" t="s">
        <v>96</v>
      </c>
      <c r="V16" s="30">
        <f t="shared" si="8"/>
        <v>46149</v>
      </c>
      <c r="W16" s="30">
        <v>46213</v>
      </c>
      <c r="X16" s="26">
        <v>17400</v>
      </c>
      <c r="Y16" s="26">
        <v>10440</v>
      </c>
      <c r="Z16" s="26">
        <v>6960</v>
      </c>
      <c r="AA16" s="47" t="s">
        <v>35</v>
      </c>
      <c r="AB16" s="45" t="s">
        <v>52</v>
      </c>
      <c r="AC16" s="59" t="s">
        <v>97</v>
      </c>
      <c r="AD16" s="43" t="s">
        <v>98</v>
      </c>
    </row>
    <row r="17" spans="1:29">
      <c r="A17" s="49" t="s">
        <v>99</v>
      </c>
      <c r="B17" s="26">
        <v>8800</v>
      </c>
      <c r="C17" s="27">
        <v>0.35</v>
      </c>
      <c r="D17" s="26">
        <f t="shared" si="0"/>
        <v>3080</v>
      </c>
      <c r="E17" s="42" t="s">
        <v>93</v>
      </c>
      <c r="F17" s="27">
        <v>0</v>
      </c>
      <c r="G17" s="26">
        <f t="shared" si="9"/>
        <v>0</v>
      </c>
      <c r="H17" s="43">
        <v>1</v>
      </c>
      <c r="I17" s="1">
        <v>1</v>
      </c>
      <c r="J17" s="42" t="s">
        <v>93</v>
      </c>
      <c r="K17" s="27">
        <v>0.05</v>
      </c>
      <c r="L17" s="26">
        <f t="shared" si="2"/>
        <v>440</v>
      </c>
      <c r="M17" s="26">
        <f t="shared" si="3"/>
        <v>440</v>
      </c>
      <c r="N17" s="26">
        <f t="shared" si="4"/>
        <v>440</v>
      </c>
      <c r="O17" s="54">
        <f t="shared" si="7"/>
        <v>8440</v>
      </c>
      <c r="P17" s="26">
        <f t="shared" si="5"/>
        <v>-5360</v>
      </c>
      <c r="Q17" s="45" t="s">
        <v>94</v>
      </c>
      <c r="R17" s="45" t="s">
        <v>95</v>
      </c>
      <c r="S17" s="30">
        <v>46138</v>
      </c>
      <c r="T17" s="30">
        <v>46138</v>
      </c>
      <c r="U17" s="60" t="s">
        <v>100</v>
      </c>
      <c r="V17" s="30">
        <f t="shared" si="8"/>
        <v>46143</v>
      </c>
      <c r="W17" s="30">
        <v>46213</v>
      </c>
      <c r="X17" s="26">
        <v>5300</v>
      </c>
      <c r="Y17" s="26">
        <v>3500</v>
      </c>
      <c r="Z17" s="47" t="s">
        <v>35</v>
      </c>
      <c r="AA17" s="47" t="s">
        <v>35</v>
      </c>
      <c r="AB17" s="45" t="s">
        <v>101</v>
      </c>
    </row>
    <row r="18" ht="85.5" spans="1:29">
      <c r="A18" s="49" t="s">
        <v>102</v>
      </c>
      <c r="B18" s="26">
        <v>8000</v>
      </c>
      <c r="C18" s="27">
        <v>0.35</v>
      </c>
      <c r="D18" s="26">
        <f t="shared" si="0"/>
        <v>2800</v>
      </c>
      <c r="E18" s="42" t="s">
        <v>93</v>
      </c>
      <c r="F18" s="27">
        <v>0</v>
      </c>
      <c r="G18" s="26">
        <f t="shared" si="9"/>
        <v>0</v>
      </c>
      <c r="H18" s="43">
        <v>1</v>
      </c>
      <c r="I18" s="1">
        <v>1</v>
      </c>
      <c r="J18" s="42" t="s">
        <v>93</v>
      </c>
      <c r="K18" s="27">
        <v>0.05</v>
      </c>
      <c r="L18" s="26">
        <f t="shared" si="2"/>
        <v>400</v>
      </c>
      <c r="M18" s="26">
        <f t="shared" si="3"/>
        <v>400</v>
      </c>
      <c r="N18" s="26">
        <f t="shared" si="4"/>
        <v>400</v>
      </c>
      <c r="O18" s="54">
        <f t="shared" si="7"/>
        <v>8400</v>
      </c>
      <c r="P18" s="26">
        <f t="shared" si="5"/>
        <v>-5600</v>
      </c>
      <c r="Q18" s="45" t="s">
        <v>94</v>
      </c>
      <c r="R18" s="45" t="s">
        <v>95</v>
      </c>
      <c r="S18" s="30">
        <v>46139</v>
      </c>
      <c r="T18" s="30">
        <v>46139</v>
      </c>
      <c r="U18" s="60" t="s">
        <v>100</v>
      </c>
      <c r="V18" s="30">
        <f t="shared" si="8"/>
        <v>46146</v>
      </c>
      <c r="W18" s="30">
        <v>46213</v>
      </c>
      <c r="X18" s="26">
        <v>4000</v>
      </c>
      <c r="Y18" s="47" t="s">
        <v>35</v>
      </c>
      <c r="Z18" s="47" t="s">
        <v>35</v>
      </c>
      <c r="AA18" s="47" t="s">
        <v>35</v>
      </c>
      <c r="AB18" s="45" t="s">
        <v>101</v>
      </c>
      <c r="AC18" s="59" t="s">
        <v>103</v>
      </c>
    </row>
    <row r="19" spans="1:29">
      <c r="A19" s="49" t="s">
        <v>104</v>
      </c>
      <c r="B19" s="26">
        <v>53000</v>
      </c>
      <c r="C19" s="27">
        <v>0.35</v>
      </c>
      <c r="D19" s="26">
        <f t="shared" si="0"/>
        <v>18550</v>
      </c>
      <c r="E19" s="42" t="s">
        <v>105</v>
      </c>
      <c r="F19" s="27">
        <v>0.1</v>
      </c>
      <c r="G19" s="26">
        <f t="shared" si="9"/>
        <v>371</v>
      </c>
      <c r="H19" s="43">
        <v>1</v>
      </c>
      <c r="I19" s="1">
        <v>1</v>
      </c>
      <c r="J19" s="42" t="s">
        <v>93</v>
      </c>
      <c r="K19" s="27">
        <v>0.07</v>
      </c>
      <c r="L19" s="26">
        <f t="shared" si="2"/>
        <v>3710</v>
      </c>
      <c r="M19" s="26">
        <f t="shared" si="3"/>
        <v>3710</v>
      </c>
      <c r="N19" s="26">
        <f t="shared" si="4"/>
        <v>3710</v>
      </c>
      <c r="O19" s="54">
        <f t="shared" si="7"/>
        <v>12081</v>
      </c>
      <c r="P19" s="26">
        <f t="shared" si="5"/>
        <v>6469</v>
      </c>
      <c r="Q19" s="45" t="s">
        <v>32</v>
      </c>
      <c r="R19" s="45" t="s">
        <v>106</v>
      </c>
      <c r="S19" s="30">
        <v>46126</v>
      </c>
      <c r="T19" s="30">
        <v>46128</v>
      </c>
      <c r="U19" s="60" t="s">
        <v>60</v>
      </c>
      <c r="V19" s="30">
        <f t="shared" si="8"/>
        <v>46191</v>
      </c>
      <c r="W19" s="30">
        <v>46198</v>
      </c>
      <c r="X19" s="26">
        <v>26500</v>
      </c>
      <c r="Y19" s="26">
        <v>15900</v>
      </c>
      <c r="Z19" s="26">
        <v>10600</v>
      </c>
      <c r="AA19" s="47" t="s">
        <v>35</v>
      </c>
      <c r="AB19" s="45" t="s">
        <v>52</v>
      </c>
    </row>
    <row r="20" spans="1:29">
      <c r="A20" s="43" t="s">
        <v>107</v>
      </c>
      <c r="B20" s="26">
        <v>140000</v>
      </c>
      <c r="C20" s="27">
        <v>0.35</v>
      </c>
      <c r="D20" s="26">
        <f t="shared" si="0"/>
        <v>49000</v>
      </c>
      <c r="E20" s="42" t="s">
        <v>108</v>
      </c>
      <c r="F20" s="27">
        <v>0.1</v>
      </c>
      <c r="G20" s="26">
        <f t="shared" si="9"/>
        <v>1400</v>
      </c>
      <c r="H20" s="43">
        <v>2</v>
      </c>
      <c r="I20" s="1">
        <v>1</v>
      </c>
      <c r="J20" s="42" t="s">
        <v>65</v>
      </c>
      <c r="K20" s="27">
        <v>0.1</v>
      </c>
      <c r="L20" s="26">
        <f t="shared" si="2"/>
        <v>14000</v>
      </c>
      <c r="M20" s="26">
        <f t="shared" si="3"/>
        <v>7000</v>
      </c>
      <c r="N20" s="26">
        <f t="shared" si="4"/>
        <v>7000</v>
      </c>
      <c r="O20" s="54">
        <f t="shared" si="7"/>
        <v>31400</v>
      </c>
      <c r="P20" s="26">
        <f t="shared" si="5"/>
        <v>17600</v>
      </c>
      <c r="Q20" s="45" t="s">
        <v>94</v>
      </c>
      <c r="R20" s="45" t="s">
        <v>109</v>
      </c>
      <c r="S20" s="30">
        <v>46129</v>
      </c>
      <c r="U20" s="60" t="s">
        <v>67</v>
      </c>
      <c r="X20" s="26">
        <v>70000</v>
      </c>
      <c r="Y20" s="28">
        <v>42000</v>
      </c>
      <c r="Z20" s="26"/>
      <c r="AA20" s="47" t="s">
        <v>35</v>
      </c>
      <c r="AB20" s="45" t="s">
        <v>52</v>
      </c>
    </row>
    <row r="21" spans="1:29">
      <c r="A21" s="49" t="s">
        <v>110</v>
      </c>
      <c r="B21" s="26">
        <v>14270</v>
      </c>
      <c r="C21" s="27">
        <v>0.35</v>
      </c>
      <c r="D21" s="26">
        <f t="shared" si="0"/>
        <v>4994.5</v>
      </c>
      <c r="E21" s="42" t="s">
        <v>111</v>
      </c>
      <c r="F21" s="27">
        <v>0.07</v>
      </c>
      <c r="G21" s="26">
        <f t="shared" si="9"/>
        <v>29.967</v>
      </c>
      <c r="H21" s="43">
        <v>2</v>
      </c>
      <c r="I21" s="1">
        <v>1</v>
      </c>
      <c r="J21" s="44" t="s">
        <v>112</v>
      </c>
      <c r="K21" s="27">
        <v>0.03</v>
      </c>
      <c r="L21" s="26">
        <f t="shared" si="2"/>
        <v>428.1</v>
      </c>
      <c r="M21" s="26">
        <f t="shared" si="3"/>
        <v>214.05</v>
      </c>
      <c r="N21" s="26">
        <f t="shared" si="4"/>
        <v>214.05</v>
      </c>
      <c r="O21" s="54">
        <f t="shared" si="7"/>
        <v>16458.067</v>
      </c>
      <c r="P21" s="26">
        <f t="shared" si="5"/>
        <v>-11463.567</v>
      </c>
      <c r="Q21" s="45" t="s">
        <v>32</v>
      </c>
      <c r="R21" s="45" t="s">
        <v>113</v>
      </c>
      <c r="S21" s="30">
        <v>46135</v>
      </c>
      <c r="T21" s="30">
        <v>46160</v>
      </c>
      <c r="U21" s="60" t="s">
        <v>96</v>
      </c>
      <c r="V21" s="30">
        <f t="shared" ref="V21:V24" si="10">WORKDAY(T21,SUBSTITUTE(U21,"工作日",""))</f>
        <v>46181</v>
      </c>
      <c r="W21" s="30">
        <v>46228</v>
      </c>
      <c r="X21" s="26">
        <v>7135</v>
      </c>
      <c r="Y21" s="28">
        <v>4281</v>
      </c>
      <c r="Z21" s="28">
        <v>2854</v>
      </c>
      <c r="AA21" s="47" t="s">
        <v>35</v>
      </c>
      <c r="AB21" s="45" t="s">
        <v>52</v>
      </c>
    </row>
    <row r="22" spans="1:29">
      <c r="A22" s="49" t="s">
        <v>114</v>
      </c>
      <c r="B22" s="26">
        <v>18000</v>
      </c>
      <c r="C22" s="27">
        <v>0.35</v>
      </c>
      <c r="D22" s="26">
        <f t="shared" si="0"/>
        <v>6300</v>
      </c>
      <c r="E22" s="42" t="s">
        <v>115</v>
      </c>
      <c r="F22" s="27">
        <v>0</v>
      </c>
      <c r="G22" s="26">
        <f t="shared" si="9"/>
        <v>0</v>
      </c>
      <c r="H22" s="43">
        <v>2</v>
      </c>
      <c r="I22" s="1">
        <v>1</v>
      </c>
      <c r="J22" s="44" t="s">
        <v>112</v>
      </c>
      <c r="K22" s="27">
        <v>0.05</v>
      </c>
      <c r="L22" s="26">
        <f t="shared" si="2"/>
        <v>900</v>
      </c>
      <c r="M22" s="26">
        <f t="shared" si="3"/>
        <v>450</v>
      </c>
      <c r="N22" s="26">
        <f t="shared" si="4"/>
        <v>450</v>
      </c>
      <c r="O22" s="54">
        <f t="shared" si="7"/>
        <v>16900</v>
      </c>
      <c r="P22" s="26">
        <f t="shared" si="5"/>
        <v>-10600</v>
      </c>
      <c r="Q22" s="45" t="s">
        <v>32</v>
      </c>
      <c r="R22" s="45" t="s">
        <v>113</v>
      </c>
      <c r="S22" s="30">
        <v>46137</v>
      </c>
      <c r="T22" s="30">
        <v>46156</v>
      </c>
      <c r="U22" s="60" t="s">
        <v>96</v>
      </c>
      <c r="V22" s="30">
        <f t="shared" si="10"/>
        <v>46177</v>
      </c>
      <c r="W22" s="30">
        <v>46193</v>
      </c>
      <c r="X22" s="26">
        <v>7200</v>
      </c>
      <c r="Y22" s="28">
        <v>5400</v>
      </c>
      <c r="Z22" s="28">
        <v>5400</v>
      </c>
      <c r="AA22" s="47" t="s">
        <v>35</v>
      </c>
      <c r="AB22" s="45" t="s">
        <v>116</v>
      </c>
    </row>
    <row r="23" spans="1:29">
      <c r="A23" s="49" t="s">
        <v>117</v>
      </c>
      <c r="B23" s="26">
        <v>5000</v>
      </c>
      <c r="C23" s="27">
        <v>0.35</v>
      </c>
      <c r="D23" s="26">
        <f t="shared" si="0"/>
        <v>1750</v>
      </c>
      <c r="E23" s="44" t="s">
        <v>65</v>
      </c>
      <c r="F23" s="27">
        <v>0</v>
      </c>
      <c r="G23" s="26">
        <f t="shared" si="9"/>
        <v>0</v>
      </c>
      <c r="H23" s="1">
        <v>1</v>
      </c>
      <c r="I23" s="1">
        <v>0.25</v>
      </c>
      <c r="J23" s="42" t="s">
        <v>65</v>
      </c>
      <c r="K23" s="27">
        <v>0.03</v>
      </c>
      <c r="L23" s="26">
        <f t="shared" si="2"/>
        <v>150</v>
      </c>
      <c r="M23" s="26">
        <f t="shared" si="3"/>
        <v>150</v>
      </c>
      <c r="N23" s="26">
        <f t="shared" si="4"/>
        <v>600</v>
      </c>
      <c r="O23" s="54">
        <f t="shared" si="7"/>
        <v>2150</v>
      </c>
      <c r="P23" s="26">
        <f t="shared" si="5"/>
        <v>-400</v>
      </c>
      <c r="Q23" s="45" t="s">
        <v>32</v>
      </c>
      <c r="R23" s="45" t="s">
        <v>118</v>
      </c>
      <c r="S23" s="30">
        <v>46140</v>
      </c>
      <c r="T23" s="30">
        <v>46140</v>
      </c>
      <c r="U23" s="60" t="s">
        <v>56</v>
      </c>
      <c r="V23" s="30">
        <f t="shared" si="10"/>
        <v>46143</v>
      </c>
      <c r="W23" s="30">
        <v>46142</v>
      </c>
      <c r="X23" s="26">
        <v>3000</v>
      </c>
      <c r="Y23" s="28">
        <v>2000</v>
      </c>
      <c r="Z23" s="47" t="s">
        <v>35</v>
      </c>
      <c r="AA23" s="47" t="s">
        <v>35</v>
      </c>
      <c r="AB23" s="45" t="s">
        <v>101</v>
      </c>
    </row>
    <row r="24" s="1" customFormat="1" spans="1:29">
      <c r="A24" s="49" t="s">
        <v>119</v>
      </c>
      <c r="B24" s="26">
        <v>1200</v>
      </c>
      <c r="C24" s="27">
        <v>0.35</v>
      </c>
      <c r="D24" s="26">
        <f t="shared" si="0"/>
        <v>420</v>
      </c>
      <c r="E24" s="44" t="s">
        <v>65</v>
      </c>
      <c r="F24" s="27">
        <v>0</v>
      </c>
      <c r="G24" s="26">
        <f t="shared" si="9"/>
        <v>0</v>
      </c>
      <c r="H24" s="43">
        <v>1</v>
      </c>
      <c r="I24" s="1">
        <v>0.25</v>
      </c>
      <c r="J24" s="42" t="s">
        <v>65</v>
      </c>
      <c r="K24" s="27">
        <v>0.05</v>
      </c>
      <c r="L24" s="26">
        <f t="shared" si="2"/>
        <v>60</v>
      </c>
      <c r="M24" s="26">
        <f t="shared" si="3"/>
        <v>60</v>
      </c>
      <c r="N24" s="26">
        <f t="shared" si="4"/>
        <v>240</v>
      </c>
      <c r="O24" s="54">
        <f t="shared" si="7"/>
        <v>2060</v>
      </c>
      <c r="P24" s="26">
        <f t="shared" si="5"/>
        <v>-1640</v>
      </c>
      <c r="Q24" s="45" t="s">
        <v>32</v>
      </c>
      <c r="R24" s="45" t="s">
        <v>118</v>
      </c>
      <c r="S24" s="30">
        <v>46142</v>
      </c>
      <c r="T24" s="30">
        <v>46142</v>
      </c>
      <c r="U24" s="60" t="s">
        <v>39</v>
      </c>
      <c r="V24" s="30">
        <f t="shared" si="10"/>
        <v>46143</v>
      </c>
      <c r="W24" s="30">
        <v>46142</v>
      </c>
      <c r="X24" s="26">
        <v>1200</v>
      </c>
      <c r="Y24" s="47" t="s">
        <v>35</v>
      </c>
      <c r="Z24" s="47" t="s">
        <v>35</v>
      </c>
      <c r="AA24" s="47" t="s">
        <v>35</v>
      </c>
      <c r="AB24" s="62">
        <v>1</v>
      </c>
    </row>
    <row r="25" spans="1:29">
      <c r="A25" s="49" t="s">
        <v>120</v>
      </c>
      <c r="B25" s="26">
        <v>6000</v>
      </c>
      <c r="C25" s="27">
        <v>0.35</v>
      </c>
      <c r="D25" s="26">
        <f t="shared" si="0"/>
        <v>2100</v>
      </c>
      <c r="E25" s="44" t="s">
        <v>121</v>
      </c>
      <c r="F25" s="27">
        <v>0</v>
      </c>
      <c r="G25" s="26">
        <f t="shared" si="9"/>
        <v>0</v>
      </c>
      <c r="H25" s="1">
        <v>1</v>
      </c>
      <c r="I25" s="1">
        <v>0.25</v>
      </c>
      <c r="J25" s="44" t="s">
        <v>121</v>
      </c>
      <c r="K25" s="27">
        <v>0.03</v>
      </c>
      <c r="L25" s="26">
        <f t="shared" si="2"/>
        <v>180</v>
      </c>
      <c r="M25" s="26">
        <f t="shared" si="3"/>
        <v>180</v>
      </c>
      <c r="N25" s="26">
        <f t="shared" si="4"/>
        <v>720</v>
      </c>
      <c r="O25" s="54">
        <f t="shared" si="7"/>
        <v>2180</v>
      </c>
      <c r="P25" s="26">
        <f t="shared" si="5"/>
        <v>-80</v>
      </c>
      <c r="Q25" s="45" t="s">
        <v>122</v>
      </c>
      <c r="R25" s="2" t="s">
        <v>123</v>
      </c>
      <c r="S25" s="30">
        <v>46141</v>
      </c>
      <c r="U25" s="60" t="s">
        <v>124</v>
      </c>
      <c r="V25" s="30">
        <v>46141</v>
      </c>
      <c r="W25" s="30">
        <v>46203</v>
      </c>
      <c r="X25" s="26">
        <v>1800</v>
      </c>
      <c r="Y25" s="26">
        <v>4200</v>
      </c>
      <c r="Z25" s="47" t="s">
        <v>35</v>
      </c>
      <c r="AA25" s="47" t="s">
        <v>35</v>
      </c>
      <c r="AB25" s="45" t="s">
        <v>125</v>
      </c>
    </row>
    <row r="26" s="1" customFormat="1" spans="1:29">
      <c r="A26" s="49" t="s">
        <v>126</v>
      </c>
      <c r="B26" s="26">
        <v>6000</v>
      </c>
      <c r="C26" s="27">
        <v>0.35</v>
      </c>
      <c r="D26" s="26">
        <f t="shared" si="0"/>
        <v>2100</v>
      </c>
      <c r="E26" s="44" t="s">
        <v>121</v>
      </c>
      <c r="F26" s="27">
        <v>0</v>
      </c>
      <c r="G26" s="26">
        <f t="shared" si="9"/>
        <v>0</v>
      </c>
      <c r="H26" s="1">
        <v>1</v>
      </c>
      <c r="I26" s="1">
        <v>0.25</v>
      </c>
      <c r="J26" s="44" t="s">
        <v>121</v>
      </c>
      <c r="K26" s="27">
        <v>0.03</v>
      </c>
      <c r="L26" s="26">
        <f t="shared" si="2"/>
        <v>180</v>
      </c>
      <c r="M26" s="26">
        <f t="shared" si="3"/>
        <v>180</v>
      </c>
      <c r="N26" s="26">
        <f t="shared" si="4"/>
        <v>720</v>
      </c>
      <c r="O26" s="54">
        <f t="shared" si="7"/>
        <v>2180</v>
      </c>
      <c r="P26" s="26">
        <f t="shared" si="5"/>
        <v>-80</v>
      </c>
      <c r="Q26" s="45" t="s">
        <v>122</v>
      </c>
      <c r="R26" s="2" t="s">
        <v>123</v>
      </c>
      <c r="S26" s="30">
        <v>46141</v>
      </c>
      <c r="T26" s="30"/>
      <c r="U26" s="60" t="s">
        <v>124</v>
      </c>
      <c r="V26" s="30">
        <v>46141</v>
      </c>
      <c r="W26" s="30">
        <v>46203</v>
      </c>
      <c r="X26" s="26">
        <v>4200</v>
      </c>
      <c r="Y26" s="26">
        <v>1800</v>
      </c>
      <c r="Z26" s="47" t="s">
        <v>35</v>
      </c>
      <c r="AA26" s="47" t="s">
        <v>35</v>
      </c>
      <c r="AB26" s="45" t="s">
        <v>127</v>
      </c>
    </row>
    <row r="27" s="1" customFormat="1" spans="1:29">
      <c r="A27" s="49" t="s">
        <v>128</v>
      </c>
      <c r="B27" s="26">
        <v>2000</v>
      </c>
      <c r="C27" s="27">
        <v>0.35</v>
      </c>
      <c r="D27" s="26">
        <f t="shared" si="0"/>
        <v>700</v>
      </c>
      <c r="E27" s="44" t="s">
        <v>121</v>
      </c>
      <c r="F27" s="27">
        <v>0</v>
      </c>
      <c r="G27" s="26">
        <f t="shared" si="9"/>
        <v>0</v>
      </c>
      <c r="H27" s="1">
        <v>1</v>
      </c>
      <c r="I27" s="1">
        <v>0.25</v>
      </c>
      <c r="J27" s="44" t="s">
        <v>121</v>
      </c>
      <c r="K27" s="27">
        <v>0.03</v>
      </c>
      <c r="L27" s="26">
        <f t="shared" si="2"/>
        <v>60</v>
      </c>
      <c r="M27" s="26">
        <f t="shared" si="3"/>
        <v>60</v>
      </c>
      <c r="N27" s="26">
        <f t="shared" si="4"/>
        <v>240</v>
      </c>
      <c r="O27" s="54">
        <f t="shared" si="7"/>
        <v>2060</v>
      </c>
      <c r="P27" s="26">
        <f t="shared" si="5"/>
        <v>-1360</v>
      </c>
      <c r="Q27" s="45" t="s">
        <v>122</v>
      </c>
      <c r="R27" s="2" t="s">
        <v>123</v>
      </c>
      <c r="S27" s="30">
        <v>46186</v>
      </c>
      <c r="T27" s="30"/>
      <c r="U27" s="60" t="s">
        <v>124</v>
      </c>
      <c r="V27" s="30">
        <v>46186</v>
      </c>
      <c r="W27" s="30">
        <v>46203</v>
      </c>
      <c r="X27" s="26">
        <v>2000</v>
      </c>
      <c r="Y27" s="47" t="s">
        <v>35</v>
      </c>
      <c r="Z27" s="47" t="s">
        <v>35</v>
      </c>
      <c r="AA27" s="47" t="s">
        <v>35</v>
      </c>
      <c r="AB27" s="45" t="s">
        <v>127</v>
      </c>
    </row>
    <row r="28" spans="1:29">
      <c r="A28" s="49" t="s">
        <v>129</v>
      </c>
      <c r="B28" s="26">
        <v>2000</v>
      </c>
      <c r="C28" s="27">
        <v>0.35</v>
      </c>
      <c r="D28" s="26">
        <f t="shared" si="0"/>
        <v>700</v>
      </c>
      <c r="E28" s="44" t="s">
        <v>83</v>
      </c>
      <c r="F28" s="27">
        <v>0</v>
      </c>
      <c r="G28" s="26">
        <f t="shared" si="9"/>
        <v>0</v>
      </c>
      <c r="H28" s="1">
        <v>1</v>
      </c>
      <c r="I28" s="1">
        <v>12</v>
      </c>
      <c r="J28" s="42" t="s">
        <v>115</v>
      </c>
      <c r="K28" s="27">
        <v>0.03</v>
      </c>
      <c r="L28" s="26">
        <f t="shared" si="2"/>
        <v>60</v>
      </c>
      <c r="M28" s="26">
        <f t="shared" si="3"/>
        <v>60</v>
      </c>
      <c r="N28" s="26">
        <f t="shared" si="4"/>
        <v>5</v>
      </c>
      <c r="O28" s="54">
        <f t="shared" si="7"/>
        <v>96060</v>
      </c>
      <c r="P28" s="26">
        <f t="shared" si="5"/>
        <v>-95360</v>
      </c>
      <c r="Q28" s="45" t="s">
        <v>130</v>
      </c>
      <c r="R28" s="45" t="s">
        <v>131</v>
      </c>
      <c r="S28" s="30">
        <v>46151</v>
      </c>
      <c r="U28" s="60" t="s">
        <v>132</v>
      </c>
      <c r="V28" s="30">
        <v>46515</v>
      </c>
      <c r="X28" s="26">
        <v>2000</v>
      </c>
      <c r="Y28" s="47" t="s">
        <v>35</v>
      </c>
      <c r="Z28" s="47" t="s">
        <v>35</v>
      </c>
      <c r="AA28" s="47" t="s">
        <v>35</v>
      </c>
      <c r="AB28" s="57">
        <v>1</v>
      </c>
      <c r="AC28" s="43" t="s">
        <v>133</v>
      </c>
    </row>
    <row r="29" spans="1:29">
      <c r="A29" s="43" t="s">
        <v>134</v>
      </c>
      <c r="B29" s="26">
        <v>50000</v>
      </c>
      <c r="C29" s="27">
        <v>0.35</v>
      </c>
      <c r="D29" s="26">
        <f t="shared" si="0"/>
        <v>17500</v>
      </c>
      <c r="E29" s="42" t="s">
        <v>135</v>
      </c>
      <c r="F29" s="27">
        <v>0.05</v>
      </c>
      <c r="G29" s="26">
        <f t="shared" si="9"/>
        <v>175</v>
      </c>
      <c r="H29" s="1">
        <v>2</v>
      </c>
      <c r="I29" s="1">
        <v>1</v>
      </c>
      <c r="J29" s="42" t="s">
        <v>115</v>
      </c>
      <c r="K29" s="27">
        <v>0.07</v>
      </c>
      <c r="L29" s="26">
        <f t="shared" si="2"/>
        <v>3500</v>
      </c>
      <c r="M29" s="26">
        <f t="shared" si="3"/>
        <v>1750</v>
      </c>
      <c r="N29" s="26">
        <f t="shared" si="4"/>
        <v>1750</v>
      </c>
      <c r="O29" s="54">
        <f t="shared" si="7"/>
        <v>19675</v>
      </c>
      <c r="P29" s="26">
        <f t="shared" si="5"/>
        <v>-2175</v>
      </c>
      <c r="Q29" s="45" t="s">
        <v>32</v>
      </c>
      <c r="R29" s="45" t="s">
        <v>106</v>
      </c>
      <c r="S29" s="30">
        <v>46156</v>
      </c>
      <c r="U29" s="53" t="s">
        <v>67</v>
      </c>
      <c r="X29" s="26">
        <v>15000</v>
      </c>
      <c r="AB29" s="45" t="s">
        <v>61</v>
      </c>
    </row>
    <row r="30" spans="1:29">
      <c r="A30" s="43" t="s">
        <v>136</v>
      </c>
      <c r="B30" s="26">
        <v>80000</v>
      </c>
      <c r="C30" s="27">
        <v>0.35</v>
      </c>
      <c r="D30" s="26">
        <f t="shared" si="0"/>
        <v>28000</v>
      </c>
      <c r="E30" s="42" t="s">
        <v>93</v>
      </c>
      <c r="F30" s="27">
        <v>0</v>
      </c>
      <c r="G30" s="26">
        <f t="shared" si="9"/>
        <v>0</v>
      </c>
      <c r="H30" s="1">
        <v>1</v>
      </c>
      <c r="I30" s="1">
        <v>1</v>
      </c>
      <c r="J30" s="42" t="s">
        <v>93</v>
      </c>
      <c r="K30" s="27">
        <v>0.07</v>
      </c>
      <c r="L30" s="26">
        <f t="shared" si="2"/>
        <v>5600</v>
      </c>
      <c r="M30" s="26">
        <f t="shared" si="3"/>
        <v>5600</v>
      </c>
      <c r="N30" s="26">
        <f t="shared" si="4"/>
        <v>5600</v>
      </c>
      <c r="O30" s="54">
        <f t="shared" si="7"/>
        <v>13600</v>
      </c>
      <c r="P30" s="26">
        <f t="shared" si="5"/>
        <v>14400</v>
      </c>
      <c r="Q30" s="45" t="s">
        <v>70</v>
      </c>
      <c r="R30" s="45" t="s">
        <v>137</v>
      </c>
      <c r="S30" s="30">
        <v>46163</v>
      </c>
      <c r="T30" s="30">
        <v>46175</v>
      </c>
      <c r="U30" s="53" t="s">
        <v>138</v>
      </c>
      <c r="V30" s="30">
        <f>WORKDAY(T30,SUBSTITUTE(U30,"工作日",""))</f>
        <v>46240</v>
      </c>
      <c r="X30" s="26">
        <v>24000</v>
      </c>
      <c r="Y30" s="28">
        <v>16000</v>
      </c>
      <c r="Z30" s="26">
        <v>24000</v>
      </c>
      <c r="AB30" s="45" t="s">
        <v>139</v>
      </c>
    </row>
    <row r="31" spans="1:29">
      <c r="A31" s="43" t="s">
        <v>140</v>
      </c>
      <c r="B31" s="26">
        <v>110000</v>
      </c>
      <c r="C31" s="27">
        <v>0.35</v>
      </c>
      <c r="D31" s="26">
        <f t="shared" si="0"/>
        <v>38500</v>
      </c>
      <c r="E31" s="42" t="s">
        <v>141</v>
      </c>
      <c r="F31" s="27">
        <v>0.1</v>
      </c>
      <c r="G31" s="26">
        <f t="shared" si="9"/>
        <v>1100</v>
      </c>
      <c r="H31" s="1">
        <v>1</v>
      </c>
      <c r="I31" s="1">
        <v>1</v>
      </c>
      <c r="J31" s="42" t="s">
        <v>121</v>
      </c>
      <c r="K31" s="27">
        <v>0.1</v>
      </c>
      <c r="L31" s="26">
        <f t="shared" si="2"/>
        <v>11000</v>
      </c>
      <c r="M31" s="26">
        <f t="shared" si="3"/>
        <v>11000</v>
      </c>
      <c r="N31" s="26">
        <f t="shared" si="4"/>
        <v>11000</v>
      </c>
      <c r="O31" s="54">
        <f t="shared" si="7"/>
        <v>20100</v>
      </c>
      <c r="P31" s="26">
        <f t="shared" si="5"/>
        <v>18400</v>
      </c>
      <c r="Q31" s="45" t="s">
        <v>142</v>
      </c>
      <c r="R31" s="45" t="s">
        <v>143</v>
      </c>
      <c r="S31" s="30">
        <v>46167</v>
      </c>
      <c r="U31" s="53" t="s">
        <v>72</v>
      </c>
      <c r="X31" s="26">
        <v>33000</v>
      </c>
      <c r="Y31" s="26">
        <v>33000</v>
      </c>
      <c r="AB31" s="45" t="s">
        <v>139</v>
      </c>
    </row>
    <row r="32" spans="1:29">
      <c r="A32" s="43" t="s">
        <v>144</v>
      </c>
      <c r="B32" s="26">
        <v>10000</v>
      </c>
      <c r="C32" s="27">
        <v>0.35</v>
      </c>
      <c r="D32" s="26">
        <f t="shared" si="0"/>
        <v>3500</v>
      </c>
      <c r="E32" s="42" t="s">
        <v>141</v>
      </c>
      <c r="F32" s="27">
        <v>0</v>
      </c>
      <c r="G32" s="26">
        <f t="shared" si="9"/>
        <v>0</v>
      </c>
      <c r="H32" s="1">
        <v>1</v>
      </c>
      <c r="I32" s="1">
        <v>1</v>
      </c>
      <c r="J32" s="42" t="s">
        <v>121</v>
      </c>
      <c r="K32" s="27">
        <v>0.1</v>
      </c>
      <c r="L32" s="26">
        <f t="shared" si="2"/>
        <v>1000</v>
      </c>
      <c r="M32" s="26">
        <f t="shared" si="3"/>
        <v>1000</v>
      </c>
      <c r="N32" s="26">
        <f t="shared" si="4"/>
        <v>1000</v>
      </c>
      <c r="O32" s="54">
        <f t="shared" si="7"/>
        <v>9000</v>
      </c>
      <c r="P32" s="26">
        <f t="shared" si="5"/>
        <v>-5500</v>
      </c>
      <c r="Q32" s="45" t="s">
        <v>142</v>
      </c>
      <c r="R32" s="45" t="s">
        <v>143</v>
      </c>
      <c r="S32" s="30">
        <v>46167</v>
      </c>
      <c r="U32" s="53" t="s">
        <v>72</v>
      </c>
      <c r="X32" s="26">
        <v>3300</v>
      </c>
      <c r="AB32" s="45" t="s">
        <v>139</v>
      </c>
    </row>
    <row r="33" spans="1:29">
      <c r="A33" s="43" t="s">
        <v>145</v>
      </c>
      <c r="B33" s="26">
        <v>50000</v>
      </c>
      <c r="C33" s="27">
        <v>0.35</v>
      </c>
      <c r="D33" s="26">
        <f t="shared" si="0"/>
        <v>17500</v>
      </c>
      <c r="E33" s="42" t="s">
        <v>141</v>
      </c>
      <c r="F33" s="27">
        <v>0.1</v>
      </c>
      <c r="G33" s="26">
        <f t="shared" si="9"/>
        <v>500</v>
      </c>
      <c r="H33" s="1">
        <v>1</v>
      </c>
      <c r="I33" s="1">
        <v>1</v>
      </c>
      <c r="J33" s="42" t="s">
        <v>121</v>
      </c>
      <c r="K33" s="27">
        <v>0.1</v>
      </c>
      <c r="L33" s="26">
        <f t="shared" si="2"/>
        <v>5000</v>
      </c>
      <c r="M33" s="26">
        <f t="shared" si="3"/>
        <v>5000</v>
      </c>
      <c r="N33" s="26">
        <f t="shared" si="4"/>
        <v>5000</v>
      </c>
      <c r="O33" s="54">
        <f t="shared" si="7"/>
        <v>13500</v>
      </c>
      <c r="P33" s="26">
        <f t="shared" si="5"/>
        <v>4000</v>
      </c>
      <c r="Q33" s="45" t="s">
        <v>142</v>
      </c>
      <c r="R33" s="45" t="s">
        <v>143</v>
      </c>
      <c r="S33" s="30">
        <v>46188</v>
      </c>
      <c r="U33" s="53" t="s">
        <v>146</v>
      </c>
      <c r="X33" s="26">
        <v>15000</v>
      </c>
      <c r="Y33" s="26">
        <v>15000</v>
      </c>
      <c r="AB33" s="45" t="s">
        <v>147</v>
      </c>
    </row>
    <row r="34" s="1" customFormat="1" spans="1:29">
      <c r="A34" s="43" t="s">
        <v>148</v>
      </c>
      <c r="B34" s="26">
        <v>59800</v>
      </c>
      <c r="C34" s="27">
        <v>0.35</v>
      </c>
      <c r="D34" s="26">
        <f t="shared" si="0"/>
        <v>20930</v>
      </c>
      <c r="E34" s="44" t="s">
        <v>65</v>
      </c>
      <c r="F34" s="27">
        <v>0</v>
      </c>
      <c r="G34" s="26">
        <f t="shared" si="9"/>
        <v>0</v>
      </c>
      <c r="H34" s="1">
        <v>1</v>
      </c>
      <c r="I34" s="1">
        <v>1</v>
      </c>
      <c r="J34" s="42" t="s">
        <v>65</v>
      </c>
      <c r="K34" s="27">
        <v>0.07</v>
      </c>
      <c r="L34" s="26">
        <f t="shared" si="2"/>
        <v>4186</v>
      </c>
      <c r="M34" s="26">
        <f t="shared" si="3"/>
        <v>4186</v>
      </c>
      <c r="N34" s="26">
        <f t="shared" si="4"/>
        <v>4186</v>
      </c>
      <c r="O34" s="54">
        <f>人员工资!H2*H34*I34+G34+L34</f>
        <v>9186</v>
      </c>
      <c r="P34" s="26">
        <f t="shared" si="5"/>
        <v>11744</v>
      </c>
      <c r="Q34" s="45" t="s">
        <v>32</v>
      </c>
      <c r="R34" s="45" t="s">
        <v>149</v>
      </c>
      <c r="S34" s="30">
        <v>46171</v>
      </c>
      <c r="T34" s="30">
        <v>46211</v>
      </c>
      <c r="U34" s="53" t="s">
        <v>150</v>
      </c>
      <c r="V34" s="30">
        <f t="shared" ref="V34:V46" si="11">WORKDAY(T34,SUBSTITUTE(U34,"工作日",""))</f>
        <v>46295</v>
      </c>
      <c r="W34" s="30"/>
      <c r="X34" s="26">
        <v>17940</v>
      </c>
      <c r="Y34" s="26">
        <v>17940</v>
      </c>
      <c r="Z34" s="28"/>
      <c r="AA34" s="28"/>
      <c r="AB34" s="45" t="s">
        <v>61</v>
      </c>
    </row>
    <row r="35" spans="1:29">
      <c r="A35" s="43" t="s">
        <v>151</v>
      </c>
      <c r="B35" s="26">
        <v>8900</v>
      </c>
      <c r="C35" s="27">
        <v>0.35</v>
      </c>
      <c r="D35" s="26">
        <f t="shared" si="0"/>
        <v>3115</v>
      </c>
      <c r="E35" s="44" t="s">
        <v>65</v>
      </c>
      <c r="F35" s="27">
        <v>0</v>
      </c>
      <c r="G35" s="26">
        <f t="shared" si="9"/>
        <v>0</v>
      </c>
      <c r="H35" s="1">
        <v>1</v>
      </c>
      <c r="I35" s="1">
        <v>0.5</v>
      </c>
      <c r="J35" s="42" t="s">
        <v>65</v>
      </c>
      <c r="K35" s="27">
        <v>0.07</v>
      </c>
      <c r="L35" s="26">
        <f t="shared" si="2"/>
        <v>623</v>
      </c>
      <c r="M35" s="26">
        <f t="shared" si="3"/>
        <v>623</v>
      </c>
      <c r="N35" s="26">
        <f t="shared" si="4"/>
        <v>1246</v>
      </c>
      <c r="O35" s="54">
        <f>人员工资!H3*H35*I35+G35+L35</f>
        <v>3623</v>
      </c>
      <c r="P35" s="26">
        <f t="shared" si="5"/>
        <v>-508</v>
      </c>
      <c r="Q35" s="45" t="s">
        <v>32</v>
      </c>
      <c r="R35" s="45" t="s">
        <v>149</v>
      </c>
      <c r="S35" s="30">
        <v>46212</v>
      </c>
      <c r="U35" s="53" t="s">
        <v>34</v>
      </c>
      <c r="X35" s="26">
        <v>8900</v>
      </c>
      <c r="Y35" s="47" t="s">
        <v>35</v>
      </c>
      <c r="Z35" s="47" t="s">
        <v>35</v>
      </c>
      <c r="AA35" s="47" t="s">
        <v>35</v>
      </c>
      <c r="AB35" s="62">
        <v>1</v>
      </c>
    </row>
    <row r="36" spans="1:29">
      <c r="A36" s="43" t="s">
        <v>152</v>
      </c>
      <c r="B36" s="26">
        <v>12000</v>
      </c>
      <c r="C36" s="27">
        <v>0.35</v>
      </c>
      <c r="D36" s="26">
        <f t="shared" si="0"/>
        <v>4200</v>
      </c>
      <c r="E36" s="44" t="s">
        <v>153</v>
      </c>
      <c r="F36" s="27">
        <v>0</v>
      </c>
      <c r="G36" s="26">
        <f t="shared" si="9"/>
        <v>0</v>
      </c>
      <c r="H36" s="1">
        <v>1</v>
      </c>
      <c r="I36" s="1">
        <v>1</v>
      </c>
      <c r="J36" s="42" t="s">
        <v>154</v>
      </c>
      <c r="K36" s="27">
        <v>0.03</v>
      </c>
      <c r="L36" s="26">
        <f t="shared" si="2"/>
        <v>360</v>
      </c>
      <c r="M36" s="26">
        <f t="shared" si="3"/>
        <v>360</v>
      </c>
      <c r="N36" s="26">
        <f t="shared" si="4"/>
        <v>360</v>
      </c>
      <c r="O36" s="54">
        <f t="shared" ref="O36:O39" si="12">8000*H36*I36+G36+L36</f>
        <v>8360</v>
      </c>
      <c r="P36" s="26">
        <f t="shared" si="5"/>
        <v>-4160</v>
      </c>
      <c r="Q36" s="45" t="s">
        <v>32</v>
      </c>
      <c r="R36" s="45" t="s">
        <v>66</v>
      </c>
      <c r="S36" s="30">
        <v>46115</v>
      </c>
      <c r="U36" s="53" t="s">
        <v>51</v>
      </c>
      <c r="X36" s="26">
        <v>6000</v>
      </c>
      <c r="Y36" s="28">
        <v>3600</v>
      </c>
      <c r="AA36" s="47" t="s">
        <v>35</v>
      </c>
      <c r="AB36" s="45" t="s">
        <v>52</v>
      </c>
    </row>
    <row r="37" spans="1:29">
      <c r="A37" s="49" t="s">
        <v>155</v>
      </c>
      <c r="B37" s="26">
        <v>6000</v>
      </c>
      <c r="C37" s="27">
        <v>0.35</v>
      </c>
      <c r="D37" s="26">
        <f t="shared" si="0"/>
        <v>2100</v>
      </c>
      <c r="E37" s="44" t="s">
        <v>115</v>
      </c>
      <c r="F37" s="27">
        <v>0</v>
      </c>
      <c r="G37" s="26">
        <f t="shared" si="9"/>
        <v>0</v>
      </c>
      <c r="H37" s="1">
        <v>1</v>
      </c>
      <c r="I37" s="1">
        <v>0.04</v>
      </c>
      <c r="J37" s="29" t="s">
        <v>115</v>
      </c>
      <c r="K37" s="27">
        <v>0.03</v>
      </c>
      <c r="L37" s="26">
        <f t="shared" si="2"/>
        <v>180</v>
      </c>
      <c r="M37" s="26">
        <f t="shared" si="3"/>
        <v>180</v>
      </c>
      <c r="N37" s="26">
        <f t="shared" si="4"/>
        <v>4500</v>
      </c>
      <c r="O37" s="54">
        <f t="shared" si="12"/>
        <v>500</v>
      </c>
      <c r="P37" s="26">
        <f t="shared" si="5"/>
        <v>1600</v>
      </c>
      <c r="Q37" s="45" t="s">
        <v>32</v>
      </c>
      <c r="R37" s="45" t="s">
        <v>156</v>
      </c>
      <c r="S37" s="30">
        <v>46173</v>
      </c>
      <c r="T37" s="30">
        <v>46174</v>
      </c>
      <c r="U37" s="53" t="s">
        <v>45</v>
      </c>
      <c r="V37" s="30">
        <f t="shared" si="11"/>
        <v>46176</v>
      </c>
      <c r="W37" s="30">
        <v>46176</v>
      </c>
      <c r="X37" s="26">
        <v>3000</v>
      </c>
      <c r="Y37" s="28">
        <v>3000</v>
      </c>
      <c r="Z37" s="47" t="s">
        <v>35</v>
      </c>
      <c r="AA37" s="47" t="s">
        <v>35</v>
      </c>
      <c r="AB37" s="45" t="s">
        <v>36</v>
      </c>
    </row>
    <row r="38" spans="1:29">
      <c r="A38" s="43" t="s">
        <v>157</v>
      </c>
      <c r="B38" s="26">
        <v>89500</v>
      </c>
      <c r="C38" s="27">
        <v>0.35</v>
      </c>
      <c r="D38" s="26">
        <f t="shared" si="0"/>
        <v>31325</v>
      </c>
      <c r="E38" s="44" t="s">
        <v>158</v>
      </c>
      <c r="F38" s="27">
        <v>0.07</v>
      </c>
      <c r="G38" s="26">
        <f t="shared" si="9"/>
        <v>438.55</v>
      </c>
      <c r="H38" s="1">
        <v>1</v>
      </c>
      <c r="I38" s="1">
        <v>1</v>
      </c>
      <c r="J38" s="29" t="s">
        <v>115</v>
      </c>
      <c r="K38" s="27">
        <v>0.07</v>
      </c>
      <c r="L38" s="26">
        <f t="shared" si="2"/>
        <v>6265</v>
      </c>
      <c r="M38" s="26">
        <f t="shared" si="3"/>
        <v>6265</v>
      </c>
      <c r="N38" s="26">
        <f t="shared" si="4"/>
        <v>6265</v>
      </c>
      <c r="O38" s="54">
        <f t="shared" si="12"/>
        <v>14703.55</v>
      </c>
      <c r="P38" s="26">
        <f t="shared" si="5"/>
        <v>16621.45</v>
      </c>
      <c r="Q38" s="45" t="s">
        <v>142</v>
      </c>
      <c r="R38" s="45" t="s">
        <v>159</v>
      </c>
      <c r="S38" s="30">
        <v>46184</v>
      </c>
      <c r="T38" s="30">
        <v>46211</v>
      </c>
      <c r="U38" s="53" t="s">
        <v>72</v>
      </c>
      <c r="V38" s="30">
        <f t="shared" si="11"/>
        <v>46281</v>
      </c>
      <c r="X38" s="26">
        <v>26850</v>
      </c>
      <c r="Y38" s="28">
        <v>17900</v>
      </c>
      <c r="AB38" s="45" t="s">
        <v>160</v>
      </c>
    </row>
    <row r="39" spans="1:29">
      <c r="A39" s="43" t="s">
        <v>161</v>
      </c>
      <c r="B39" s="26">
        <v>6000</v>
      </c>
      <c r="C39" s="27">
        <v>0.35</v>
      </c>
      <c r="D39" s="26">
        <f t="shared" si="0"/>
        <v>2100</v>
      </c>
      <c r="E39" s="44" t="s">
        <v>77</v>
      </c>
      <c r="F39" s="27">
        <v>0</v>
      </c>
      <c r="G39" s="26">
        <f t="shared" si="9"/>
        <v>0</v>
      </c>
      <c r="H39" s="1">
        <v>1</v>
      </c>
      <c r="I39" s="1">
        <v>1</v>
      </c>
      <c r="J39" s="42" t="s">
        <v>77</v>
      </c>
      <c r="K39" s="27">
        <v>0.03</v>
      </c>
      <c r="L39" s="26">
        <f t="shared" si="2"/>
        <v>180</v>
      </c>
      <c r="M39" s="26">
        <f t="shared" si="3"/>
        <v>180</v>
      </c>
      <c r="N39" s="26">
        <f t="shared" si="4"/>
        <v>180</v>
      </c>
      <c r="O39" s="54">
        <f t="shared" si="12"/>
        <v>8180</v>
      </c>
      <c r="P39" s="26">
        <f t="shared" si="5"/>
        <v>-6080</v>
      </c>
      <c r="Q39" s="45" t="s">
        <v>32</v>
      </c>
      <c r="R39" s="45" t="s">
        <v>162</v>
      </c>
      <c r="S39" s="30">
        <v>46199</v>
      </c>
      <c r="U39" s="53" t="s">
        <v>146</v>
      </c>
      <c r="V39" s="30">
        <f t="shared" si="11"/>
        <v>27</v>
      </c>
      <c r="X39" s="26">
        <v>3000</v>
      </c>
      <c r="Y39" s="28">
        <v>1800</v>
      </c>
      <c r="AA39" s="47" t="s">
        <v>35</v>
      </c>
      <c r="AB39" s="45" t="s">
        <v>52</v>
      </c>
    </row>
    <row r="40" spans="1:29">
      <c r="A40" s="43" t="s">
        <v>163</v>
      </c>
      <c r="B40" s="26">
        <v>20200</v>
      </c>
      <c r="C40" s="27">
        <v>0.35</v>
      </c>
      <c r="D40" s="26">
        <f t="shared" si="0"/>
        <v>7070</v>
      </c>
      <c r="E40" s="42" t="s">
        <v>105</v>
      </c>
      <c r="F40" s="27">
        <v>0.07</v>
      </c>
      <c r="G40" s="26">
        <f t="shared" si="9"/>
        <v>70.7</v>
      </c>
      <c r="H40" s="1">
        <v>1</v>
      </c>
      <c r="I40" s="1">
        <v>1</v>
      </c>
      <c r="J40" s="42" t="s">
        <v>121</v>
      </c>
      <c r="K40" s="27">
        <v>0.05</v>
      </c>
      <c r="L40" s="26">
        <f t="shared" si="2"/>
        <v>1010</v>
      </c>
      <c r="M40" s="26">
        <f t="shared" si="3"/>
        <v>1010</v>
      </c>
      <c r="N40" s="26">
        <f t="shared" si="4"/>
        <v>1010</v>
      </c>
      <c r="O40" s="54">
        <f>人员工资!H7*H40*I40+G40+L40</f>
        <v>6580.7</v>
      </c>
      <c r="P40" s="26">
        <f t="shared" si="5"/>
        <v>489.3</v>
      </c>
      <c r="Q40" s="45" t="s">
        <v>32</v>
      </c>
      <c r="R40" s="45" t="s">
        <v>164</v>
      </c>
      <c r="S40" s="30">
        <v>46202</v>
      </c>
      <c r="U40" s="53" t="s">
        <v>165</v>
      </c>
      <c r="V40" s="30">
        <f t="shared" si="11"/>
        <v>25</v>
      </c>
      <c r="X40" s="26">
        <v>9500</v>
      </c>
      <c r="AA40" s="47" t="s">
        <v>35</v>
      </c>
      <c r="AB40" s="45" t="s">
        <v>52</v>
      </c>
    </row>
    <row r="41" spans="1:29">
      <c r="A41" s="43" t="s">
        <v>166</v>
      </c>
      <c r="B41" s="26">
        <v>11400</v>
      </c>
      <c r="C41" s="27">
        <v>0.35</v>
      </c>
      <c r="D41" s="26">
        <f t="shared" si="0"/>
        <v>3990</v>
      </c>
      <c r="E41" s="42" t="s">
        <v>105</v>
      </c>
      <c r="F41" s="27">
        <v>0.07</v>
      </c>
      <c r="G41" s="26">
        <f t="shared" si="9"/>
        <v>39.9</v>
      </c>
      <c r="H41" s="1">
        <v>1</v>
      </c>
      <c r="I41" s="1">
        <v>1</v>
      </c>
      <c r="J41" s="42" t="s">
        <v>121</v>
      </c>
      <c r="K41" s="27">
        <v>0.05</v>
      </c>
      <c r="L41" s="26">
        <f t="shared" si="2"/>
        <v>570</v>
      </c>
      <c r="M41" s="26">
        <f t="shared" si="3"/>
        <v>570</v>
      </c>
      <c r="N41" s="26">
        <f t="shared" si="4"/>
        <v>570</v>
      </c>
      <c r="O41" s="54">
        <f>人员工资!H8*H41*I41+G41+L41</f>
        <v>6609.9</v>
      </c>
      <c r="P41" s="26">
        <f t="shared" si="5"/>
        <v>-2619.9</v>
      </c>
      <c r="Q41" s="45" t="s">
        <v>32</v>
      </c>
      <c r="R41" s="45" t="s">
        <v>164</v>
      </c>
      <c r="S41" s="30">
        <v>46225</v>
      </c>
      <c r="U41" s="53" t="s">
        <v>34</v>
      </c>
      <c r="V41" s="30">
        <f t="shared" si="11"/>
        <v>13</v>
      </c>
      <c r="X41" s="26">
        <v>5000</v>
      </c>
      <c r="AA41" s="47" t="s">
        <v>35</v>
      </c>
      <c r="AB41" s="45" t="s">
        <v>52</v>
      </c>
    </row>
    <row r="42" spans="1:29">
      <c r="A42" s="43" t="s">
        <v>167</v>
      </c>
      <c r="B42" s="26">
        <v>168000</v>
      </c>
      <c r="C42" s="27">
        <v>0.35</v>
      </c>
      <c r="D42" s="26">
        <f t="shared" si="0"/>
        <v>58800</v>
      </c>
      <c r="E42" s="42" t="s">
        <v>168</v>
      </c>
      <c r="F42" s="27">
        <v>0.05</v>
      </c>
      <c r="G42" s="26">
        <f t="shared" si="9"/>
        <v>840</v>
      </c>
      <c r="H42" s="1">
        <v>1</v>
      </c>
      <c r="I42" s="1">
        <v>1</v>
      </c>
      <c r="J42" s="42" t="s">
        <v>169</v>
      </c>
      <c r="K42" s="27">
        <v>0.1</v>
      </c>
      <c r="L42" s="26">
        <f t="shared" si="2"/>
        <v>16800</v>
      </c>
      <c r="M42" s="26">
        <f t="shared" si="3"/>
        <v>16800</v>
      </c>
      <c r="N42" s="26">
        <f t="shared" si="4"/>
        <v>16800</v>
      </c>
      <c r="O42" s="54">
        <f>人员工资!H3*80%*H42*I42+G42+L42</f>
        <v>22440</v>
      </c>
      <c r="P42" s="26">
        <f t="shared" si="5"/>
        <v>36360</v>
      </c>
      <c r="Q42" s="45" t="s">
        <v>32</v>
      </c>
      <c r="R42" s="45" t="s">
        <v>164</v>
      </c>
      <c r="S42" s="30">
        <v>46202</v>
      </c>
      <c r="T42" s="30">
        <v>46203</v>
      </c>
      <c r="U42" s="53" t="s">
        <v>60</v>
      </c>
      <c r="V42" s="30">
        <f t="shared" si="11"/>
        <v>46266</v>
      </c>
      <c r="X42" s="26">
        <v>84000</v>
      </c>
      <c r="Y42" s="28">
        <v>50400</v>
      </c>
      <c r="AB42" s="45" t="s">
        <v>170</v>
      </c>
    </row>
    <row r="43" spans="1:29">
      <c r="A43" s="43" t="s">
        <v>171</v>
      </c>
      <c r="B43" s="26">
        <v>7000</v>
      </c>
      <c r="C43" s="27">
        <v>0.35</v>
      </c>
      <c r="D43" s="26">
        <f t="shared" si="0"/>
        <v>2450</v>
      </c>
      <c r="E43" s="42"/>
      <c r="F43" s="27">
        <v>0</v>
      </c>
      <c r="G43" s="26">
        <f t="shared" si="9"/>
        <v>0</v>
      </c>
      <c r="H43" s="1">
        <v>1</v>
      </c>
      <c r="I43" s="1">
        <v>0.3</v>
      </c>
      <c r="J43" s="42" t="s">
        <v>169</v>
      </c>
      <c r="K43" s="27">
        <v>0.1</v>
      </c>
      <c r="L43" s="26">
        <f t="shared" si="2"/>
        <v>700</v>
      </c>
      <c r="M43" s="26">
        <f t="shared" si="3"/>
        <v>700</v>
      </c>
      <c r="N43" s="26">
        <f t="shared" si="4"/>
        <v>2333.33333333333</v>
      </c>
      <c r="O43" s="54">
        <f>人员工资!H4*80%*H43*I43+G43+L43</f>
        <v>940</v>
      </c>
      <c r="P43" s="26">
        <f t="shared" si="5"/>
        <v>1510</v>
      </c>
      <c r="Q43" s="45" t="s">
        <v>32</v>
      </c>
      <c r="R43" s="45" t="s">
        <v>164</v>
      </c>
      <c r="S43" s="30">
        <v>46227</v>
      </c>
      <c r="T43" s="30">
        <v>46227</v>
      </c>
      <c r="U43" s="53" t="s">
        <v>34</v>
      </c>
      <c r="V43" s="30">
        <f t="shared" si="11"/>
        <v>46241</v>
      </c>
      <c r="X43" s="26">
        <v>7000</v>
      </c>
      <c r="Y43" s="47" t="s">
        <v>35</v>
      </c>
      <c r="Z43" s="47" t="s">
        <v>35</v>
      </c>
      <c r="AA43" s="47" t="s">
        <v>35</v>
      </c>
      <c r="AB43" s="62">
        <v>1</v>
      </c>
    </row>
    <row r="44" spans="1:29">
      <c r="A44" s="43" t="s">
        <v>172</v>
      </c>
      <c r="B44" s="26">
        <v>287000</v>
      </c>
      <c r="C44" s="27">
        <v>0.35</v>
      </c>
      <c r="D44" s="26">
        <f t="shared" si="0"/>
        <v>100450</v>
      </c>
      <c r="E44" s="42" t="s">
        <v>93</v>
      </c>
      <c r="F44" s="27">
        <v>0</v>
      </c>
      <c r="G44" s="26">
        <f t="shared" si="9"/>
        <v>0</v>
      </c>
      <c r="H44" s="1">
        <v>2</v>
      </c>
      <c r="I44" s="1">
        <v>1</v>
      </c>
      <c r="J44" s="42" t="s">
        <v>93</v>
      </c>
      <c r="K44" s="27">
        <v>0.1</v>
      </c>
      <c r="L44" s="26">
        <f t="shared" si="2"/>
        <v>28700</v>
      </c>
      <c r="M44" s="26">
        <f t="shared" si="3"/>
        <v>14350</v>
      </c>
      <c r="N44" s="26">
        <f t="shared" si="4"/>
        <v>14350</v>
      </c>
      <c r="O44" s="54">
        <f>人员工资!H4*80%*H44*I44+G44+L44</f>
        <v>30300</v>
      </c>
      <c r="P44" s="26">
        <f t="shared" si="5"/>
        <v>70150</v>
      </c>
      <c r="Q44" s="45" t="s">
        <v>70</v>
      </c>
      <c r="R44" s="45" t="s">
        <v>173</v>
      </c>
      <c r="S44" s="30">
        <v>46203</v>
      </c>
      <c r="T44" s="30">
        <v>46203</v>
      </c>
      <c r="U44" s="53" t="s">
        <v>60</v>
      </c>
      <c r="V44" s="30">
        <f t="shared" si="11"/>
        <v>46266</v>
      </c>
      <c r="X44" s="26">
        <v>86100</v>
      </c>
      <c r="Y44" s="26">
        <v>86100</v>
      </c>
      <c r="AB44" s="45" t="s">
        <v>61</v>
      </c>
      <c r="AC44" s="43" t="s">
        <v>174</v>
      </c>
    </row>
    <row r="45" spans="1:29">
      <c r="A45" s="49" t="s">
        <v>175</v>
      </c>
      <c r="B45" s="26">
        <v>35000</v>
      </c>
      <c r="C45" s="27">
        <v>0.35</v>
      </c>
      <c r="D45" s="26">
        <f t="shared" si="0"/>
        <v>12250</v>
      </c>
      <c r="E45" s="44" t="s">
        <v>31</v>
      </c>
      <c r="F45" s="27">
        <v>0</v>
      </c>
      <c r="G45" s="26">
        <f t="shared" si="9"/>
        <v>0</v>
      </c>
      <c r="H45" s="1">
        <v>1</v>
      </c>
      <c r="I45" s="1">
        <v>0.5</v>
      </c>
      <c r="J45" s="42" t="s">
        <v>31</v>
      </c>
      <c r="K45" s="27">
        <v>0.05</v>
      </c>
      <c r="L45" s="26">
        <f t="shared" si="2"/>
        <v>1750</v>
      </c>
      <c r="M45" s="26">
        <f t="shared" si="3"/>
        <v>1750</v>
      </c>
      <c r="N45" s="26">
        <f t="shared" si="4"/>
        <v>3500</v>
      </c>
      <c r="O45" s="73">
        <f>9000*H45*I45+G45+L45</f>
        <v>6250</v>
      </c>
      <c r="P45" s="26">
        <f t="shared" si="5"/>
        <v>6000</v>
      </c>
      <c r="Q45" s="45" t="s">
        <v>130</v>
      </c>
      <c r="R45" s="45" t="s">
        <v>131</v>
      </c>
      <c r="S45" s="30">
        <v>46202</v>
      </c>
      <c r="T45" s="30">
        <v>46202</v>
      </c>
      <c r="U45" s="53" t="s">
        <v>176</v>
      </c>
      <c r="V45" s="30">
        <f t="shared" si="11"/>
        <v>46218</v>
      </c>
      <c r="W45" s="30">
        <v>46217</v>
      </c>
      <c r="X45" s="26">
        <v>17500</v>
      </c>
      <c r="Y45" s="28">
        <v>17500</v>
      </c>
      <c r="AA45" s="47" t="s">
        <v>35</v>
      </c>
      <c r="AB45" s="45" t="s">
        <v>52</v>
      </c>
    </row>
    <row r="46" spans="1:29">
      <c r="A46" s="43" t="s">
        <v>177</v>
      </c>
      <c r="B46" s="26">
        <v>298000</v>
      </c>
      <c r="C46" s="27">
        <v>0.35</v>
      </c>
      <c r="D46" s="26">
        <f t="shared" si="0"/>
        <v>104300</v>
      </c>
      <c r="E46" s="44" t="s">
        <v>178</v>
      </c>
      <c r="F46" s="27">
        <v>0.07</v>
      </c>
      <c r="G46" s="26">
        <f t="shared" si="9"/>
        <v>2086</v>
      </c>
      <c r="H46" s="1">
        <v>1</v>
      </c>
      <c r="I46" s="1">
        <v>2</v>
      </c>
      <c r="J46" s="42" t="s">
        <v>169</v>
      </c>
      <c r="K46" s="27">
        <v>0.1</v>
      </c>
      <c r="L46" s="26">
        <f t="shared" si="2"/>
        <v>29800</v>
      </c>
      <c r="M46" s="26">
        <f t="shared" si="3"/>
        <v>29800</v>
      </c>
      <c r="N46" s="26">
        <f t="shared" si="4"/>
        <v>14900</v>
      </c>
      <c r="O46" s="54">
        <f>人员工资!H3*80%*H46*I46+G46+L46</f>
        <v>41486</v>
      </c>
      <c r="P46" s="26">
        <f t="shared" si="5"/>
        <v>62814</v>
      </c>
      <c r="Q46" s="45" t="s">
        <v>49</v>
      </c>
      <c r="R46" s="45" t="s">
        <v>179</v>
      </c>
      <c r="S46" s="30">
        <v>46203</v>
      </c>
      <c r="U46" s="53" t="s">
        <v>180</v>
      </c>
      <c r="V46" s="30">
        <f t="shared" si="11"/>
        <v>111</v>
      </c>
      <c r="X46" s="26">
        <v>89400</v>
      </c>
      <c r="AB46" s="45" t="s">
        <v>181</v>
      </c>
    </row>
    <row r="47" spans="1:29">
      <c r="A47" s="49" t="s">
        <v>182</v>
      </c>
      <c r="B47" s="26">
        <v>8300</v>
      </c>
      <c r="C47" s="27">
        <v>0.35</v>
      </c>
      <c r="D47" s="26">
        <f t="shared" si="0"/>
        <v>2905</v>
      </c>
      <c r="E47" s="44"/>
      <c r="F47" s="27">
        <v>0</v>
      </c>
      <c r="G47" s="26">
        <f t="shared" si="9"/>
        <v>0</v>
      </c>
      <c r="H47" s="1">
        <v>1</v>
      </c>
      <c r="I47" s="1">
        <v>1</v>
      </c>
      <c r="J47" s="42" t="s">
        <v>31</v>
      </c>
      <c r="K47" s="27">
        <v>0.03</v>
      </c>
      <c r="L47" s="26">
        <f t="shared" si="2"/>
        <v>249</v>
      </c>
      <c r="M47" s="26">
        <f t="shared" si="3"/>
        <v>249</v>
      </c>
      <c r="N47" s="26">
        <f t="shared" si="4"/>
        <v>249</v>
      </c>
      <c r="O47" s="54">
        <f>人员工资!H4*80%*H47*I47+G47+L47</f>
        <v>1049</v>
      </c>
      <c r="P47" s="26">
        <f t="shared" si="5"/>
        <v>1856</v>
      </c>
      <c r="Q47" s="45" t="s">
        <v>32</v>
      </c>
      <c r="R47" s="45" t="s">
        <v>33</v>
      </c>
      <c r="S47" s="30">
        <v>46212</v>
      </c>
      <c r="U47" s="53" t="s">
        <v>96</v>
      </c>
      <c r="V47" s="30">
        <v>46233</v>
      </c>
      <c r="W47" s="30">
        <v>46224</v>
      </c>
      <c r="X47" s="26">
        <v>5000</v>
      </c>
      <c r="Y47" s="28">
        <v>3300</v>
      </c>
      <c r="Z47" s="47" t="s">
        <v>35</v>
      </c>
      <c r="AA47" s="47" t="s">
        <v>35</v>
      </c>
      <c r="AB47" s="45" t="s">
        <v>183</v>
      </c>
    </row>
    <row r="48" spans="1:29">
      <c r="A48" s="43" t="s">
        <v>184</v>
      </c>
      <c r="B48" s="26">
        <v>31400</v>
      </c>
      <c r="C48" s="27">
        <v>0.35</v>
      </c>
      <c r="D48" s="26">
        <f t="shared" si="0"/>
        <v>10990</v>
      </c>
      <c r="E48" s="44" t="s">
        <v>185</v>
      </c>
      <c r="F48" s="27">
        <v>0.05</v>
      </c>
      <c r="G48" s="26">
        <f t="shared" si="9"/>
        <v>78.5</v>
      </c>
      <c r="H48" s="1">
        <v>1</v>
      </c>
      <c r="I48" s="1">
        <v>1</v>
      </c>
      <c r="J48" s="42" t="s">
        <v>93</v>
      </c>
      <c r="K48" s="27">
        <v>0.05</v>
      </c>
      <c r="L48" s="26">
        <f t="shared" si="2"/>
        <v>1570</v>
      </c>
      <c r="M48" s="26">
        <f t="shared" si="3"/>
        <v>1570</v>
      </c>
      <c r="N48" s="26">
        <f t="shared" si="4"/>
        <v>1570</v>
      </c>
      <c r="O48" s="54">
        <f>人员工资!H5*80%*H48*I48+G48+L48</f>
        <v>5248.5</v>
      </c>
      <c r="P48" s="26">
        <f t="shared" si="5"/>
        <v>5741.5</v>
      </c>
      <c r="Q48" s="45" t="s">
        <v>122</v>
      </c>
      <c r="R48" s="45" t="s">
        <v>186</v>
      </c>
      <c r="S48" s="30">
        <v>46213</v>
      </c>
      <c r="U48" s="53" t="s">
        <v>51</v>
      </c>
      <c r="V48" s="30">
        <f>WORKDAY(T48,SUBSTITUTE(U48,"工作日",""))</f>
        <v>41</v>
      </c>
      <c r="X48" s="26">
        <v>15700</v>
      </c>
      <c r="AA48" s="47" t="s">
        <v>35</v>
      </c>
      <c r="AB48" s="45" t="s">
        <v>52</v>
      </c>
    </row>
    <row r="49" spans="1:28">
      <c r="A49" s="43" t="s">
        <v>187</v>
      </c>
      <c r="B49" s="26">
        <v>100000</v>
      </c>
      <c r="C49" s="27">
        <v>0.35</v>
      </c>
      <c r="D49" s="26">
        <f t="shared" si="0"/>
        <v>35000</v>
      </c>
      <c r="E49" s="44" t="s">
        <v>153</v>
      </c>
      <c r="F49" s="27">
        <v>0.07</v>
      </c>
      <c r="G49" s="26">
        <f t="shared" si="9"/>
        <v>700</v>
      </c>
      <c r="H49" s="1">
        <v>1</v>
      </c>
      <c r="I49" s="1">
        <v>1</v>
      </c>
      <c r="J49" s="42" t="s">
        <v>65</v>
      </c>
      <c r="K49" s="27">
        <v>0.1</v>
      </c>
      <c r="L49" s="26">
        <f t="shared" si="2"/>
        <v>10000</v>
      </c>
      <c r="M49" s="26">
        <f t="shared" si="3"/>
        <v>10000</v>
      </c>
      <c r="N49" s="26">
        <f t="shared" si="4"/>
        <v>10000</v>
      </c>
      <c r="O49" s="54">
        <f>人员工资!H6*80%*H49*I49+G49+L49</f>
        <v>15500</v>
      </c>
      <c r="P49" s="26">
        <f t="shared" si="5"/>
        <v>19500</v>
      </c>
      <c r="Q49" s="45" t="s">
        <v>188</v>
      </c>
      <c r="R49" s="45" t="s">
        <v>189</v>
      </c>
      <c r="S49" s="30">
        <v>46216</v>
      </c>
      <c r="T49" s="30">
        <v>46226</v>
      </c>
      <c r="U49" s="53" t="s">
        <v>190</v>
      </c>
      <c r="V49" s="30">
        <f>WORKDAY(T49,SUBSTITUTE(U49,"工作日",""))</f>
        <v>46303</v>
      </c>
      <c r="X49" s="26">
        <v>40000</v>
      </c>
      <c r="AA49" s="47" t="s">
        <v>35</v>
      </c>
      <c r="AB49" s="45" t="s">
        <v>116</v>
      </c>
    </row>
  </sheetData>
  <sheetProtection formatCells="0" insertHyperlinks="0" autoFilter="0"/>
  <autoFilter xmlns:etc="http://www.wps.cn/officeDocument/2017/etCustomData" ref="A1:AD49" etc:filterBottomFollowUsedRange="0">
    <extLst/>
  </autoFilter>
  <mergeCells count="1">
    <mergeCell ref="Y45:Z45"/>
  </mergeCells>
  <dataValidations count="1">
    <dataValidation type="date" operator="greaterThanOrEqual" allowBlank="1" showErrorMessage="1" errorTitle="输入内容有误" error="请输入正确的日期" sqref="V16:V18 V25:V27 W16:W18 W25:W27 S2:T1048576 V2:W15 V19:W24 V28:W1048576">
      <formula1>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8"/>
  <sheetViews>
    <sheetView zoomScale="110" zoomScaleNormal="110" workbookViewId="0">
      <pane xSplit="2" ySplit="1" topLeftCell="Z2" activePane="bottomRight" state="frozen"/>
      <selection/>
      <selection pane="topRight"/>
      <selection pane="bottomLeft"/>
      <selection pane="bottomRight" activeCell="Y2" sqref="Y2"/>
    </sheetView>
  </sheetViews>
  <sheetFormatPr defaultColWidth="11.3333333333333" defaultRowHeight="19.5"/>
  <cols>
    <col min="1" max="1" width="23.4444444444444" style="1" customWidth="1"/>
    <col min="2" max="2" width="12.3333333333333" style="26"/>
    <col min="3" max="3" width="11.3333333333333" style="27"/>
    <col min="4" max="4" width="11.3333333333333" style="26"/>
    <col min="5" max="5" width="11.3333333333333" style="28"/>
    <col min="6" max="6" width="11.3333333333333" style="27"/>
    <col min="7" max="7" width="13.3333333333333" style="26"/>
    <col min="8" max="9" width="11.3333333333333" style="1"/>
    <col min="10" max="10" width="11.3333333333333" style="29"/>
    <col min="11" max="11" width="11.3333333333333" style="27"/>
    <col min="12" max="13" width="11.3333333333333" style="26"/>
    <col min="14" max="14" width="13.7037037037037" style="26" customWidth="1"/>
    <col min="15" max="16" width="11.3333333333333" style="26"/>
    <col min="17" max="18" width="11.3333333333333" style="2"/>
    <col min="19" max="20" width="12" style="30"/>
    <col min="21" max="21" width="11.3333333333333" style="26"/>
    <col min="22" max="22" width="13" style="30"/>
    <col min="23" max="23" width="12" style="30"/>
    <col min="24" max="24" width="11.3333333333333" style="26"/>
    <col min="25" max="25" width="12.2222222222222" style="28" customWidth="1"/>
    <col min="26" max="26" width="13.5555555555556" style="28" customWidth="1"/>
    <col min="27" max="27" width="13.2222222222222" style="28" customWidth="1"/>
    <col min="28" max="28" width="17.1111111111111" style="2" customWidth="1"/>
    <col min="29" max="29" width="29.7777777777778" style="1" customWidth="1"/>
    <col min="30" max="16384" width="11.3333333333333" style="1"/>
  </cols>
  <sheetData>
    <row r="1" s="25" customFormat="1" spans="1:30">
      <c r="A1" s="31" t="s">
        <v>0</v>
      </c>
      <c r="B1" s="32" t="s">
        <v>1</v>
      </c>
      <c r="C1" s="33" t="s">
        <v>2</v>
      </c>
      <c r="D1" s="34" t="s">
        <v>3</v>
      </c>
      <c r="E1" s="35" t="s">
        <v>4</v>
      </c>
      <c r="F1" s="33" t="s">
        <v>5</v>
      </c>
      <c r="G1" s="34" t="s">
        <v>6</v>
      </c>
      <c r="H1" s="31" t="s">
        <v>7</v>
      </c>
      <c r="I1" s="31" t="s">
        <v>8</v>
      </c>
      <c r="J1" s="31" t="s">
        <v>9</v>
      </c>
      <c r="K1" s="33" t="s">
        <v>10</v>
      </c>
      <c r="L1" s="34" t="s">
        <v>11</v>
      </c>
      <c r="M1" s="34" t="s">
        <v>12</v>
      </c>
      <c r="N1" s="34" t="s">
        <v>13</v>
      </c>
      <c r="O1" s="36" t="s">
        <v>14</v>
      </c>
      <c r="P1" s="34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8" t="s">
        <v>21</v>
      </c>
      <c r="W1" s="39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40" t="s">
        <v>28</v>
      </c>
      <c r="AD1" s="40" t="s">
        <v>29</v>
      </c>
    </row>
    <row r="2" ht="30" spans="1:30">
      <c r="A2" s="41" t="s">
        <v>191</v>
      </c>
      <c r="B2" s="26">
        <v>140000</v>
      </c>
      <c r="C2" s="27">
        <v>0.35</v>
      </c>
      <c r="D2" s="26">
        <f t="shared" ref="D2:D18" si="0">B2*C2</f>
        <v>49000</v>
      </c>
      <c r="E2" s="42"/>
      <c r="F2" s="27">
        <v>0</v>
      </c>
      <c r="G2" s="26">
        <f t="shared" ref="G2:G17" si="1">B2*F2</f>
        <v>0</v>
      </c>
      <c r="H2" s="43">
        <v>1</v>
      </c>
      <c r="I2" s="1">
        <v>1</v>
      </c>
      <c r="J2" s="44" t="s">
        <v>115</v>
      </c>
      <c r="K2" s="27">
        <v>0.05</v>
      </c>
      <c r="L2" s="26">
        <f t="shared" ref="L2:L18" si="2">B2*K2</f>
        <v>7000</v>
      </c>
      <c r="M2" s="26">
        <f t="shared" ref="M2:M18" si="3">L2/H2</f>
        <v>7000</v>
      </c>
      <c r="N2" s="26">
        <f t="shared" ref="N2:N18" si="4">M2/I2</f>
        <v>7000</v>
      </c>
      <c r="O2" s="26">
        <f t="shared" ref="O2:O18" si="5">8000*H2*I2+G2+L2</f>
        <v>15000</v>
      </c>
      <c r="P2" s="26">
        <f t="shared" ref="P2:P18" si="6">D2-O2</f>
        <v>34000</v>
      </c>
      <c r="Q2" s="45"/>
      <c r="R2" s="45"/>
      <c r="U2" s="46"/>
      <c r="X2" s="47" t="s">
        <v>35</v>
      </c>
      <c r="Y2" s="26">
        <v>98000</v>
      </c>
      <c r="AA2" s="47" t="s">
        <v>35</v>
      </c>
      <c r="AB2" s="47" t="s">
        <v>35</v>
      </c>
      <c r="AC2" s="48" t="s">
        <v>192</v>
      </c>
      <c r="AD2" s="48" t="s">
        <v>193</v>
      </c>
    </row>
    <row r="3" ht="30" spans="1:30">
      <c r="A3" s="49" t="s">
        <v>194</v>
      </c>
      <c r="B3" s="26">
        <v>90000</v>
      </c>
      <c r="C3" s="27">
        <v>0.35</v>
      </c>
      <c r="D3" s="26">
        <f t="shared" si="0"/>
        <v>31500</v>
      </c>
      <c r="E3" s="42"/>
      <c r="F3" s="27">
        <v>0</v>
      </c>
      <c r="G3" s="26">
        <f t="shared" si="1"/>
        <v>0</v>
      </c>
      <c r="H3" s="43">
        <v>1</v>
      </c>
      <c r="I3" s="1">
        <v>1</v>
      </c>
      <c r="J3" s="44" t="s">
        <v>115</v>
      </c>
      <c r="K3" s="27">
        <v>0.05</v>
      </c>
      <c r="L3" s="26">
        <f t="shared" si="2"/>
        <v>4500</v>
      </c>
      <c r="M3" s="26">
        <f t="shared" si="3"/>
        <v>4500</v>
      </c>
      <c r="N3" s="26">
        <f t="shared" si="4"/>
        <v>4500</v>
      </c>
      <c r="O3" s="26">
        <f t="shared" si="5"/>
        <v>12500</v>
      </c>
      <c r="P3" s="26">
        <f t="shared" si="6"/>
        <v>19000</v>
      </c>
      <c r="Q3" s="45"/>
      <c r="R3" s="45"/>
      <c r="U3" s="46"/>
      <c r="X3" s="26">
        <v>81000</v>
      </c>
      <c r="Y3" s="28" t="s">
        <v>35</v>
      </c>
      <c r="Z3" s="28" t="s">
        <v>35</v>
      </c>
      <c r="AA3" s="26">
        <v>9000</v>
      </c>
      <c r="AB3" s="47" t="s">
        <v>35</v>
      </c>
      <c r="AC3" s="48" t="s">
        <v>195</v>
      </c>
      <c r="AD3" s="48" t="s">
        <v>196</v>
      </c>
    </row>
    <row r="4" spans="1:30">
      <c r="A4" s="49" t="s">
        <v>197</v>
      </c>
      <c r="B4" s="26">
        <v>80000</v>
      </c>
      <c r="C4" s="27">
        <v>0.35</v>
      </c>
      <c r="D4" s="26">
        <f t="shared" si="0"/>
        <v>28000</v>
      </c>
      <c r="E4" s="42"/>
      <c r="F4" s="27">
        <v>0</v>
      </c>
      <c r="G4" s="26">
        <f t="shared" si="1"/>
        <v>0</v>
      </c>
      <c r="H4" s="43">
        <v>1</v>
      </c>
      <c r="I4" s="1">
        <v>1</v>
      </c>
      <c r="J4" s="44" t="s">
        <v>121</v>
      </c>
      <c r="K4" s="27">
        <v>0.05</v>
      </c>
      <c r="L4" s="26">
        <f t="shared" si="2"/>
        <v>4000</v>
      </c>
      <c r="M4" s="26">
        <f t="shared" si="3"/>
        <v>4000</v>
      </c>
      <c r="N4" s="26">
        <f t="shared" si="4"/>
        <v>4000</v>
      </c>
      <c r="O4" s="26">
        <f t="shared" si="5"/>
        <v>12000</v>
      </c>
      <c r="P4" s="26">
        <f t="shared" si="6"/>
        <v>16000</v>
      </c>
      <c r="Q4" s="45"/>
      <c r="R4" s="45"/>
      <c r="U4" s="46"/>
      <c r="X4" s="26">
        <v>32000</v>
      </c>
      <c r="Y4" s="26">
        <v>24000</v>
      </c>
      <c r="Z4" s="26">
        <v>16000</v>
      </c>
      <c r="AA4" s="26">
        <v>8000</v>
      </c>
      <c r="AB4" s="47" t="s">
        <v>35</v>
      </c>
      <c r="AC4" s="48" t="s">
        <v>198</v>
      </c>
      <c r="AD4" s="48" t="s">
        <v>199</v>
      </c>
    </row>
    <row r="5" ht="30" spans="1:30">
      <c r="A5" s="41" t="s">
        <v>200</v>
      </c>
      <c r="B5" s="26">
        <v>55000</v>
      </c>
      <c r="C5" s="27">
        <v>0.35</v>
      </c>
      <c r="D5" s="26">
        <f t="shared" si="0"/>
        <v>19250</v>
      </c>
      <c r="E5" s="42"/>
      <c r="F5" s="27">
        <v>0</v>
      </c>
      <c r="G5" s="26">
        <f t="shared" si="1"/>
        <v>0</v>
      </c>
      <c r="H5" s="43">
        <v>1</v>
      </c>
      <c r="I5" s="1">
        <v>1</v>
      </c>
      <c r="J5" s="44" t="s">
        <v>121</v>
      </c>
      <c r="K5" s="27">
        <v>0.05</v>
      </c>
      <c r="L5" s="26">
        <f t="shared" si="2"/>
        <v>2750</v>
      </c>
      <c r="M5" s="26">
        <f t="shared" si="3"/>
        <v>2750</v>
      </c>
      <c r="N5" s="26">
        <f t="shared" si="4"/>
        <v>2750</v>
      </c>
      <c r="O5" s="26">
        <f t="shared" si="5"/>
        <v>10750</v>
      </c>
      <c r="P5" s="26">
        <f t="shared" si="6"/>
        <v>8500</v>
      </c>
      <c r="Q5" s="45"/>
      <c r="R5" s="45"/>
      <c r="U5" s="46"/>
      <c r="X5" s="26">
        <v>22000</v>
      </c>
      <c r="Y5" s="28" t="s">
        <v>35</v>
      </c>
      <c r="Z5" s="28" t="s">
        <v>35</v>
      </c>
      <c r="AA5" s="47" t="s">
        <v>35</v>
      </c>
      <c r="AB5" s="47" t="s">
        <v>35</v>
      </c>
      <c r="AC5" s="48" t="s">
        <v>201</v>
      </c>
      <c r="AD5" s="48" t="s">
        <v>202</v>
      </c>
    </row>
    <row r="6" ht="30" spans="1:30">
      <c r="A6" s="50" t="s">
        <v>203</v>
      </c>
      <c r="B6" s="26">
        <v>82000</v>
      </c>
      <c r="C6" s="27">
        <v>0.35</v>
      </c>
      <c r="D6" s="26">
        <f t="shared" si="0"/>
        <v>28700</v>
      </c>
      <c r="E6" s="42"/>
      <c r="F6" s="27">
        <v>0</v>
      </c>
      <c r="G6" s="26">
        <f t="shared" si="1"/>
        <v>0</v>
      </c>
      <c r="H6" s="43">
        <v>1</v>
      </c>
      <c r="I6" s="1">
        <v>1</v>
      </c>
      <c r="J6" s="44" t="s">
        <v>121</v>
      </c>
      <c r="K6" s="27">
        <v>0.05</v>
      </c>
      <c r="L6" s="26">
        <f t="shared" si="2"/>
        <v>4100</v>
      </c>
      <c r="M6" s="26">
        <f t="shared" si="3"/>
        <v>4100</v>
      </c>
      <c r="N6" s="26">
        <f t="shared" si="4"/>
        <v>4100</v>
      </c>
      <c r="O6" s="26">
        <f t="shared" si="5"/>
        <v>12100</v>
      </c>
      <c r="P6" s="26">
        <f t="shared" si="6"/>
        <v>16600</v>
      </c>
      <c r="Q6" s="45"/>
      <c r="R6" s="45"/>
      <c r="U6" s="46"/>
      <c r="X6" s="26">
        <v>82000</v>
      </c>
      <c r="Y6" s="28" t="s">
        <v>35</v>
      </c>
      <c r="Z6" s="28" t="s">
        <v>35</v>
      </c>
      <c r="AA6" s="47" t="s">
        <v>35</v>
      </c>
      <c r="AB6" s="47" t="s">
        <v>35</v>
      </c>
      <c r="AC6" s="48" t="s">
        <v>204</v>
      </c>
      <c r="AD6" s="48" t="s">
        <v>202</v>
      </c>
    </row>
    <row r="7" ht="30" spans="1:30">
      <c r="A7" s="49" t="s">
        <v>205</v>
      </c>
      <c r="B7" s="26">
        <v>45000</v>
      </c>
      <c r="C7" s="27">
        <v>0.35</v>
      </c>
      <c r="D7" s="26">
        <f t="shared" si="0"/>
        <v>15750</v>
      </c>
      <c r="E7" s="42"/>
      <c r="F7" s="27">
        <v>0</v>
      </c>
      <c r="G7" s="26">
        <f t="shared" si="1"/>
        <v>0</v>
      </c>
      <c r="H7" s="43">
        <v>1</v>
      </c>
      <c r="I7" s="1">
        <v>1</v>
      </c>
      <c r="J7" s="44" t="s">
        <v>121</v>
      </c>
      <c r="K7" s="27">
        <v>0.05</v>
      </c>
      <c r="L7" s="26">
        <f t="shared" si="2"/>
        <v>2250</v>
      </c>
      <c r="M7" s="26">
        <f t="shared" si="3"/>
        <v>2250</v>
      </c>
      <c r="N7" s="26">
        <f t="shared" si="4"/>
        <v>2250</v>
      </c>
      <c r="O7" s="26">
        <f t="shared" si="5"/>
        <v>10250</v>
      </c>
      <c r="P7" s="26">
        <f t="shared" si="6"/>
        <v>5500</v>
      </c>
      <c r="Q7" s="45"/>
      <c r="R7" s="45"/>
      <c r="U7" s="46"/>
      <c r="X7" s="26">
        <v>22500</v>
      </c>
      <c r="Y7" s="26">
        <v>13500</v>
      </c>
      <c r="Z7" s="28">
        <v>9000</v>
      </c>
      <c r="AA7" s="47" t="s">
        <v>35</v>
      </c>
      <c r="AB7" s="47" t="s">
        <v>35</v>
      </c>
      <c r="AC7" s="48" t="s">
        <v>206</v>
      </c>
      <c r="AD7" s="48" t="s">
        <v>207</v>
      </c>
    </row>
    <row r="8" ht="30" spans="1:30">
      <c r="A8" s="49" t="s">
        <v>208</v>
      </c>
      <c r="B8" s="26">
        <v>136000</v>
      </c>
      <c r="C8" s="27">
        <v>0.35</v>
      </c>
      <c r="D8" s="26">
        <f t="shared" si="0"/>
        <v>47600</v>
      </c>
      <c r="E8" s="42"/>
      <c r="F8" s="27">
        <v>0</v>
      </c>
      <c r="G8" s="26">
        <f t="shared" si="1"/>
        <v>0</v>
      </c>
      <c r="H8" s="43">
        <v>1</v>
      </c>
      <c r="I8" s="1">
        <v>1</v>
      </c>
      <c r="J8" s="44" t="s">
        <v>121</v>
      </c>
      <c r="K8" s="27">
        <v>0.05</v>
      </c>
      <c r="L8" s="26">
        <f t="shared" si="2"/>
        <v>6800</v>
      </c>
      <c r="M8" s="26">
        <f t="shared" si="3"/>
        <v>6800</v>
      </c>
      <c r="N8" s="26">
        <f t="shared" si="4"/>
        <v>6800</v>
      </c>
      <c r="O8" s="26">
        <f t="shared" si="5"/>
        <v>14800</v>
      </c>
      <c r="P8" s="26">
        <f t="shared" si="6"/>
        <v>32800</v>
      </c>
      <c r="Q8" s="45"/>
      <c r="R8" s="45"/>
      <c r="U8" s="46"/>
      <c r="X8" s="26">
        <v>48000</v>
      </c>
      <c r="Y8" s="26">
        <v>60800</v>
      </c>
      <c r="Z8" s="28">
        <v>27200</v>
      </c>
      <c r="AA8" s="47" t="s">
        <v>35</v>
      </c>
      <c r="AB8" s="47" t="s">
        <v>35</v>
      </c>
      <c r="AC8" s="48" t="s">
        <v>209</v>
      </c>
      <c r="AD8" s="48" t="s">
        <v>210</v>
      </c>
    </row>
    <row r="9" ht="30" spans="1:30">
      <c r="A9" s="49" t="s">
        <v>211</v>
      </c>
      <c r="B9" s="26">
        <v>43800</v>
      </c>
      <c r="C9" s="27">
        <v>0.35</v>
      </c>
      <c r="D9" s="26">
        <f t="shared" si="0"/>
        <v>15330</v>
      </c>
      <c r="E9" s="42"/>
      <c r="F9" s="27">
        <v>0</v>
      </c>
      <c r="G9" s="26">
        <f t="shared" si="1"/>
        <v>0</v>
      </c>
      <c r="H9" s="43">
        <v>1</v>
      </c>
      <c r="I9" s="1">
        <v>1</v>
      </c>
      <c r="J9" s="44" t="s">
        <v>121</v>
      </c>
      <c r="K9" s="27">
        <v>0.05</v>
      </c>
      <c r="L9" s="26">
        <f t="shared" si="2"/>
        <v>2190</v>
      </c>
      <c r="M9" s="26">
        <f t="shared" si="3"/>
        <v>2190</v>
      </c>
      <c r="N9" s="26">
        <f t="shared" si="4"/>
        <v>2190</v>
      </c>
      <c r="O9" s="26">
        <f t="shared" si="5"/>
        <v>10190</v>
      </c>
      <c r="P9" s="26">
        <f t="shared" si="6"/>
        <v>5140</v>
      </c>
      <c r="Q9" s="45"/>
      <c r="R9" s="45"/>
      <c r="U9" s="46"/>
      <c r="X9" s="26">
        <v>17520</v>
      </c>
      <c r="Y9" s="26">
        <v>17520</v>
      </c>
      <c r="Z9" s="28">
        <v>8800</v>
      </c>
      <c r="AA9" s="47" t="s">
        <v>35</v>
      </c>
      <c r="AB9" s="47" t="s">
        <v>35</v>
      </c>
      <c r="AC9" s="48" t="s">
        <v>212</v>
      </c>
      <c r="AD9" s="48" t="s">
        <v>213</v>
      </c>
    </row>
    <row r="10" ht="30" spans="1:30">
      <c r="A10" s="41" t="s">
        <v>214</v>
      </c>
      <c r="B10" s="26">
        <v>15000</v>
      </c>
      <c r="C10" s="27">
        <v>0.35</v>
      </c>
      <c r="D10" s="26">
        <f t="shared" si="0"/>
        <v>5250</v>
      </c>
      <c r="E10" s="42"/>
      <c r="F10" s="27">
        <v>0</v>
      </c>
      <c r="G10" s="26">
        <f t="shared" si="1"/>
        <v>0</v>
      </c>
      <c r="H10" s="43">
        <v>1</v>
      </c>
      <c r="I10" s="1">
        <v>1</v>
      </c>
      <c r="J10" s="44" t="s">
        <v>121</v>
      </c>
      <c r="K10" s="27">
        <v>0.05</v>
      </c>
      <c r="L10" s="26">
        <f t="shared" si="2"/>
        <v>750</v>
      </c>
      <c r="M10" s="26">
        <f t="shared" si="3"/>
        <v>750</v>
      </c>
      <c r="N10" s="26">
        <f t="shared" si="4"/>
        <v>750</v>
      </c>
      <c r="O10" s="26">
        <f t="shared" si="5"/>
        <v>8750</v>
      </c>
      <c r="P10" s="26">
        <f t="shared" si="6"/>
        <v>-3500</v>
      </c>
      <c r="Q10" s="45"/>
      <c r="R10" s="45"/>
      <c r="U10" s="46"/>
      <c r="X10" s="26">
        <v>7500</v>
      </c>
      <c r="Y10" s="26">
        <v>4500</v>
      </c>
      <c r="AA10" s="47" t="s">
        <v>35</v>
      </c>
      <c r="AB10" s="45" t="s">
        <v>52</v>
      </c>
      <c r="AC10" s="48" t="s">
        <v>215</v>
      </c>
      <c r="AD10" s="48" t="s">
        <v>216</v>
      </c>
    </row>
    <row r="11" ht="30" spans="1:30">
      <c r="A11" s="41" t="s">
        <v>217</v>
      </c>
      <c r="B11" s="26">
        <v>120000</v>
      </c>
      <c r="C11" s="27">
        <v>0.35</v>
      </c>
      <c r="D11" s="26">
        <f t="shared" si="0"/>
        <v>42000</v>
      </c>
      <c r="E11" s="42"/>
      <c r="F11" s="27">
        <v>0</v>
      </c>
      <c r="G11" s="26">
        <f t="shared" si="1"/>
        <v>0</v>
      </c>
      <c r="H11" s="43">
        <v>1</v>
      </c>
      <c r="I11" s="1">
        <v>1</v>
      </c>
      <c r="J11" s="44" t="s">
        <v>121</v>
      </c>
      <c r="K11" s="27">
        <v>0.05</v>
      </c>
      <c r="L11" s="26">
        <f t="shared" si="2"/>
        <v>6000</v>
      </c>
      <c r="M11" s="26">
        <f t="shared" si="3"/>
        <v>6000</v>
      </c>
      <c r="N11" s="26">
        <f t="shared" si="4"/>
        <v>6000</v>
      </c>
      <c r="O11" s="26">
        <f t="shared" si="5"/>
        <v>14000</v>
      </c>
      <c r="P11" s="26">
        <f t="shared" si="6"/>
        <v>28000</v>
      </c>
      <c r="Q11" s="45"/>
      <c r="R11" s="45"/>
      <c r="U11" s="46"/>
      <c r="X11" s="26">
        <v>48000</v>
      </c>
      <c r="Y11" s="26">
        <v>36000</v>
      </c>
      <c r="AB11" s="45" t="s">
        <v>218</v>
      </c>
      <c r="AC11" s="48" t="s">
        <v>219</v>
      </c>
      <c r="AD11" s="48" t="s">
        <v>220</v>
      </c>
    </row>
    <row r="12" spans="1:30">
      <c r="A12" s="41" t="s">
        <v>221</v>
      </c>
      <c r="B12" s="26">
        <v>10000</v>
      </c>
      <c r="C12" s="27">
        <v>0.35</v>
      </c>
      <c r="D12" s="26">
        <f t="shared" si="0"/>
        <v>3500</v>
      </c>
      <c r="E12" s="42"/>
      <c r="F12" s="27">
        <v>0</v>
      </c>
      <c r="G12" s="26">
        <f t="shared" si="1"/>
        <v>0</v>
      </c>
      <c r="H12" s="43">
        <v>1</v>
      </c>
      <c r="I12" s="1">
        <v>1</v>
      </c>
      <c r="J12" s="44" t="s">
        <v>83</v>
      </c>
      <c r="K12" s="27">
        <v>0.05</v>
      </c>
      <c r="L12" s="26">
        <f t="shared" si="2"/>
        <v>500</v>
      </c>
      <c r="M12" s="26">
        <f t="shared" si="3"/>
        <v>500</v>
      </c>
      <c r="N12" s="26">
        <f t="shared" si="4"/>
        <v>500</v>
      </c>
      <c r="O12" s="26">
        <f t="shared" si="5"/>
        <v>8500</v>
      </c>
      <c r="P12" s="26">
        <f t="shared" si="6"/>
        <v>-5000</v>
      </c>
      <c r="Q12" s="45"/>
      <c r="R12" s="45"/>
      <c r="U12" s="46"/>
      <c r="X12" s="26">
        <v>7000</v>
      </c>
      <c r="Z12" s="47" t="s">
        <v>35</v>
      </c>
      <c r="AA12" s="47" t="s">
        <v>35</v>
      </c>
      <c r="AB12" s="47" t="s">
        <v>35</v>
      </c>
      <c r="AC12" s="48" t="s">
        <v>222</v>
      </c>
    </row>
    <row r="13" spans="1:30">
      <c r="A13" s="49" t="s">
        <v>223</v>
      </c>
      <c r="B13" s="26">
        <v>25000</v>
      </c>
      <c r="C13" s="27">
        <v>0.35</v>
      </c>
      <c r="D13" s="26">
        <f t="shared" si="0"/>
        <v>8750</v>
      </c>
      <c r="E13" s="42"/>
      <c r="F13" s="27">
        <v>0</v>
      </c>
      <c r="G13" s="26">
        <f t="shared" si="1"/>
        <v>0</v>
      </c>
      <c r="H13" s="43">
        <v>1</v>
      </c>
      <c r="I13" s="1">
        <v>1</v>
      </c>
      <c r="J13" s="44" t="s">
        <v>83</v>
      </c>
      <c r="K13" s="27">
        <v>0.05</v>
      </c>
      <c r="L13" s="26">
        <f t="shared" si="2"/>
        <v>1250</v>
      </c>
      <c r="M13" s="26">
        <f t="shared" si="3"/>
        <v>1250</v>
      </c>
      <c r="N13" s="26">
        <f t="shared" si="4"/>
        <v>1250</v>
      </c>
      <c r="O13" s="26">
        <f t="shared" si="5"/>
        <v>9250</v>
      </c>
      <c r="P13" s="26">
        <f t="shared" si="6"/>
        <v>-500</v>
      </c>
      <c r="Q13" s="45"/>
      <c r="R13" s="45"/>
      <c r="U13" s="46"/>
      <c r="X13" s="26">
        <v>7500</v>
      </c>
      <c r="Y13" s="28">
        <v>15000</v>
      </c>
      <c r="Z13" s="28">
        <v>2500</v>
      </c>
      <c r="AA13" s="47" t="s">
        <v>35</v>
      </c>
      <c r="AB13" s="47" t="s">
        <v>35</v>
      </c>
      <c r="AC13" s="48" t="s">
        <v>224</v>
      </c>
    </row>
    <row r="14" ht="52.5" spans="1:30">
      <c r="A14" s="41" t="s">
        <v>225</v>
      </c>
      <c r="B14" s="26">
        <v>55000</v>
      </c>
      <c r="C14" s="27">
        <v>0.35</v>
      </c>
      <c r="D14" s="26">
        <f t="shared" si="0"/>
        <v>19250</v>
      </c>
      <c r="E14" s="42"/>
      <c r="F14" s="27">
        <v>0</v>
      </c>
      <c r="G14" s="26">
        <f t="shared" si="1"/>
        <v>0</v>
      </c>
      <c r="H14" s="43">
        <v>1</v>
      </c>
      <c r="I14" s="1">
        <v>1</v>
      </c>
      <c r="J14" s="44" t="s">
        <v>83</v>
      </c>
      <c r="K14" s="27">
        <v>0.05</v>
      </c>
      <c r="L14" s="26">
        <f t="shared" si="2"/>
        <v>2750</v>
      </c>
      <c r="M14" s="26">
        <f t="shared" si="3"/>
        <v>2750</v>
      </c>
      <c r="N14" s="26">
        <f t="shared" si="4"/>
        <v>2750</v>
      </c>
      <c r="O14" s="26">
        <f t="shared" si="5"/>
        <v>10750</v>
      </c>
      <c r="P14" s="26">
        <f t="shared" si="6"/>
        <v>8500</v>
      </c>
      <c r="Q14" s="45"/>
      <c r="R14" s="45"/>
      <c r="U14" s="46"/>
      <c r="X14" s="26">
        <v>16500</v>
      </c>
      <c r="Y14" s="26">
        <v>11000</v>
      </c>
      <c r="Z14" s="26">
        <v>16500</v>
      </c>
      <c r="AB14" s="51" t="s">
        <v>226</v>
      </c>
      <c r="AC14" s="52"/>
    </row>
    <row r="15" spans="1:30">
      <c r="A15" s="41" t="s">
        <v>227</v>
      </c>
      <c r="B15" s="26">
        <v>60000</v>
      </c>
      <c r="C15" s="27">
        <v>0.35</v>
      </c>
      <c r="D15" s="26">
        <f t="shared" si="0"/>
        <v>21000</v>
      </c>
      <c r="E15" s="42"/>
      <c r="F15" s="27">
        <v>0</v>
      </c>
      <c r="G15" s="26">
        <f t="shared" si="1"/>
        <v>0</v>
      </c>
      <c r="H15" s="43">
        <v>1</v>
      </c>
      <c r="I15" s="1">
        <v>1</v>
      </c>
      <c r="J15" s="44" t="s">
        <v>83</v>
      </c>
      <c r="K15" s="27">
        <v>0.05</v>
      </c>
      <c r="L15" s="26">
        <f t="shared" si="2"/>
        <v>3000</v>
      </c>
      <c r="M15" s="26">
        <f t="shared" si="3"/>
        <v>3000</v>
      </c>
      <c r="N15" s="26">
        <f t="shared" si="4"/>
        <v>3000</v>
      </c>
      <c r="O15" s="26">
        <f t="shared" si="5"/>
        <v>11000</v>
      </c>
      <c r="P15" s="26">
        <f t="shared" si="6"/>
        <v>10000</v>
      </c>
      <c r="Q15" s="45"/>
      <c r="R15" s="45"/>
      <c r="U15" s="46"/>
      <c r="X15" s="26">
        <v>21000</v>
      </c>
      <c r="Y15" s="28">
        <v>21000</v>
      </c>
      <c r="AA15" s="47" t="s">
        <v>35</v>
      </c>
      <c r="AB15" s="47" t="s">
        <v>35</v>
      </c>
      <c r="AC15" s="48" t="s">
        <v>228</v>
      </c>
    </row>
    <row r="16" ht="52.5" spans="1:30">
      <c r="A16" s="41" t="s">
        <v>229</v>
      </c>
      <c r="B16" s="26">
        <v>98000</v>
      </c>
      <c r="C16" s="27">
        <v>0.35</v>
      </c>
      <c r="D16" s="26">
        <f t="shared" si="0"/>
        <v>34300</v>
      </c>
      <c r="E16" s="42"/>
      <c r="F16" s="27">
        <v>0</v>
      </c>
      <c r="G16" s="26">
        <f t="shared" si="1"/>
        <v>0</v>
      </c>
      <c r="H16" s="43">
        <v>1</v>
      </c>
      <c r="I16" s="1">
        <v>1</v>
      </c>
      <c r="J16" s="44" t="s">
        <v>83</v>
      </c>
      <c r="K16" s="27">
        <v>0.05</v>
      </c>
      <c r="L16" s="26">
        <f t="shared" si="2"/>
        <v>4900</v>
      </c>
      <c r="M16" s="26">
        <f t="shared" si="3"/>
        <v>4900</v>
      </c>
      <c r="N16" s="26">
        <f t="shared" si="4"/>
        <v>4900</v>
      </c>
      <c r="O16" s="26">
        <f t="shared" si="5"/>
        <v>12900</v>
      </c>
      <c r="P16" s="26">
        <f t="shared" si="6"/>
        <v>21400</v>
      </c>
      <c r="Q16" s="45"/>
      <c r="R16" s="45"/>
      <c r="U16" s="46"/>
      <c r="X16" s="28"/>
      <c r="AB16" s="51" t="s">
        <v>230</v>
      </c>
      <c r="AC16" s="52"/>
    </row>
    <row r="17" spans="1:29">
      <c r="A17" s="41" t="s">
        <v>231</v>
      </c>
      <c r="B17" s="26">
        <v>80000</v>
      </c>
      <c r="C17" s="27">
        <v>0.35</v>
      </c>
      <c r="D17" s="26">
        <f t="shared" si="0"/>
        <v>28000</v>
      </c>
      <c r="E17" s="42"/>
      <c r="F17" s="27">
        <v>0</v>
      </c>
      <c r="G17" s="26">
        <f t="shared" si="1"/>
        <v>0</v>
      </c>
      <c r="H17" s="43">
        <v>1</v>
      </c>
      <c r="I17" s="1">
        <v>1</v>
      </c>
      <c r="J17" s="44" t="s">
        <v>121</v>
      </c>
      <c r="K17" s="27">
        <v>0.05</v>
      </c>
      <c r="L17" s="26">
        <f t="shared" si="2"/>
        <v>4000</v>
      </c>
      <c r="M17" s="26">
        <f t="shared" si="3"/>
        <v>4000</v>
      </c>
      <c r="N17" s="26">
        <f t="shared" si="4"/>
        <v>4000</v>
      </c>
      <c r="O17" s="26">
        <f t="shared" si="5"/>
        <v>12000</v>
      </c>
      <c r="P17" s="26">
        <f t="shared" si="6"/>
        <v>16000</v>
      </c>
      <c r="Q17" s="45"/>
      <c r="R17" s="45"/>
      <c r="U17" s="46"/>
      <c r="X17" s="28">
        <v>32000</v>
      </c>
      <c r="Y17" s="28">
        <v>24000</v>
      </c>
      <c r="AB17" s="45" t="s">
        <v>218</v>
      </c>
      <c r="AC17" s="52" t="s">
        <v>232</v>
      </c>
    </row>
    <row r="18" spans="1:29">
      <c r="A18" s="43" t="s">
        <v>233</v>
      </c>
      <c r="B18" s="26">
        <v>6000</v>
      </c>
      <c r="C18" s="27">
        <v>0.35</v>
      </c>
      <c r="D18" s="26">
        <f t="shared" si="0"/>
        <v>2100</v>
      </c>
      <c r="H18" s="1">
        <v>1</v>
      </c>
      <c r="I18" s="1">
        <v>1</v>
      </c>
      <c r="J18" s="44" t="s">
        <v>121</v>
      </c>
      <c r="K18" s="27">
        <v>0.05</v>
      </c>
      <c r="L18" s="26">
        <f t="shared" si="2"/>
        <v>300</v>
      </c>
      <c r="M18" s="26">
        <f t="shared" si="3"/>
        <v>300</v>
      </c>
      <c r="N18" s="26">
        <f t="shared" si="4"/>
        <v>300</v>
      </c>
      <c r="O18" s="26">
        <f t="shared" si="5"/>
        <v>8300</v>
      </c>
      <c r="P18" s="26">
        <f t="shared" si="6"/>
        <v>-6200</v>
      </c>
      <c r="U18" s="53" t="s">
        <v>42</v>
      </c>
      <c r="X18" s="26">
        <v>6000</v>
      </c>
      <c r="Y18" s="47" t="s">
        <v>35</v>
      </c>
      <c r="Z18" s="47" t="s">
        <v>35</v>
      </c>
      <c r="AA18" s="47" t="s">
        <v>35</v>
      </c>
      <c r="AB18" s="47" t="s">
        <v>35</v>
      </c>
      <c r="AC18" s="52" t="s">
        <v>232</v>
      </c>
    </row>
  </sheetData>
  <sheetProtection formatCells="0" insertHyperlinks="0" autoFilter="0"/>
  <autoFilter xmlns:etc="http://www.wps.cn/officeDocument/2017/etCustomData" ref="B1:P18" etc:filterBottomFollowUsedRange="0">
    <extLst/>
  </autoFilter>
  <dataValidations count="1">
    <dataValidation type="date" operator="greaterThanOrEqual" allowBlank="1" showErrorMessage="1" errorTitle="输入内容有误" error="请输入正确的日期" sqref="S2:T1048576 V2:W1048576">
      <formula1>1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opLeftCell="U1" workbookViewId="0">
      <selection activeCell="H12" sqref="H12:J12"/>
    </sheetView>
  </sheetViews>
  <sheetFormatPr defaultColWidth="11.3333333333333" defaultRowHeight="19.5"/>
  <cols>
    <col min="1" max="2" width="11.3333333333333" style="2"/>
    <col min="3" max="3" width="16.4444444444444" style="3" customWidth="1"/>
    <col min="4" max="4" width="16.4444444444444" style="2" customWidth="1"/>
    <col min="5" max="5" width="11.3333333333333" style="4"/>
    <col min="6" max="6" width="12.3333333333333" style="4"/>
    <col min="7" max="7" width="11.3333333333333" style="4"/>
    <col min="8" max="8" width="18.3333333333333" style="5" customWidth="1"/>
    <col min="9" max="10" width="18.3333333333333" style="1" customWidth="1"/>
    <col min="11" max="11" width="16.4444444444444" style="2" customWidth="1"/>
    <col min="12" max="16384" width="11.3333333333333" style="1"/>
  </cols>
  <sheetData>
    <row r="1" spans="1:14">
      <c r="A1" s="6" t="s">
        <v>234</v>
      </c>
      <c r="B1" s="6" t="s">
        <v>235</v>
      </c>
      <c r="C1" s="6" t="s">
        <v>236</v>
      </c>
      <c r="D1" s="6" t="s">
        <v>237</v>
      </c>
      <c r="E1" s="7" t="s">
        <v>238</v>
      </c>
      <c r="F1" s="7" t="s">
        <v>239</v>
      </c>
      <c r="G1" s="7" t="s">
        <v>240</v>
      </c>
      <c r="H1" s="7" t="s">
        <v>241</v>
      </c>
      <c r="I1" s="7" t="s">
        <v>242</v>
      </c>
      <c r="J1" s="6" t="s">
        <v>243</v>
      </c>
      <c r="K1" s="6" t="s">
        <v>244</v>
      </c>
      <c r="L1" s="8" t="s">
        <v>245</v>
      </c>
      <c r="M1" s="8" t="s">
        <v>28</v>
      </c>
      <c r="N1" s="8"/>
    </row>
    <row r="2" spans="1:14">
      <c r="A2" s="9">
        <f t="shared" ref="A2:A11" si="0">ROW()-1</f>
        <v>1</v>
      </c>
      <c r="B2" s="6" t="s">
        <v>65</v>
      </c>
      <c r="C2" s="10">
        <v>46090</v>
      </c>
      <c r="D2" s="6" t="s">
        <v>246</v>
      </c>
      <c r="E2" s="11" t="s">
        <v>247</v>
      </c>
      <c r="F2" s="9" t="s">
        <v>248</v>
      </c>
      <c r="G2" s="12" t="s">
        <v>249</v>
      </c>
      <c r="H2" s="13">
        <v>5000</v>
      </c>
      <c r="I2" s="14">
        <v>1000</v>
      </c>
      <c r="J2" s="15">
        <v>955</v>
      </c>
      <c r="K2" s="6"/>
      <c r="L2" s="1">
        <f t="shared" ref="L2:L11" si="1">K2/(H2+I2+J2+200)</f>
        <v>0</v>
      </c>
    </row>
    <row r="3" spans="1:14">
      <c r="A3" s="9">
        <f t="shared" si="0"/>
        <v>2</v>
      </c>
      <c r="B3" s="6" t="s">
        <v>169</v>
      </c>
      <c r="C3" s="10">
        <v>46204</v>
      </c>
      <c r="D3" s="6" t="s">
        <v>246</v>
      </c>
      <c r="E3" s="11" t="s">
        <v>250</v>
      </c>
      <c r="F3" s="9" t="s">
        <v>248</v>
      </c>
      <c r="G3" s="12" t="s">
        <v>251</v>
      </c>
      <c r="H3" s="13">
        <v>6000</v>
      </c>
      <c r="I3" s="14">
        <v>1000</v>
      </c>
      <c r="J3" s="15"/>
      <c r="K3" s="6"/>
    </row>
    <row r="4" spans="1:14">
      <c r="A4" s="9">
        <f t="shared" si="0"/>
        <v>3</v>
      </c>
      <c r="B4" s="6" t="s">
        <v>77</v>
      </c>
      <c r="C4" s="10">
        <v>46097</v>
      </c>
      <c r="D4" s="6" t="s">
        <v>246</v>
      </c>
      <c r="E4" s="11" t="s">
        <v>252</v>
      </c>
      <c r="F4" s="9" t="s">
        <v>248</v>
      </c>
      <c r="G4" s="12" t="s">
        <v>253</v>
      </c>
      <c r="H4" s="13">
        <v>1000</v>
      </c>
      <c r="I4" s="14"/>
      <c r="J4" s="15"/>
      <c r="K4" s="6"/>
      <c r="L4" s="1">
        <f t="shared" si="1"/>
        <v>0</v>
      </c>
    </row>
    <row r="5" spans="1:14">
      <c r="A5" s="9">
        <f t="shared" si="0"/>
        <v>4</v>
      </c>
      <c r="B5" s="6" t="s">
        <v>93</v>
      </c>
      <c r="C5" s="10">
        <v>46119</v>
      </c>
      <c r="D5" s="6" t="s">
        <v>246</v>
      </c>
      <c r="E5" s="11" t="s">
        <v>247</v>
      </c>
      <c r="F5" s="9" t="s">
        <v>248</v>
      </c>
      <c r="G5" s="12" t="s">
        <v>251</v>
      </c>
      <c r="H5" s="13">
        <v>4500</v>
      </c>
      <c r="I5" s="14">
        <v>1000</v>
      </c>
      <c r="J5" s="15"/>
      <c r="K5" s="6"/>
      <c r="L5" s="1">
        <f t="shared" si="1"/>
        <v>0</v>
      </c>
    </row>
    <row r="6" spans="1:14">
      <c r="A6" s="9">
        <f t="shared" si="0"/>
        <v>5</v>
      </c>
      <c r="B6" s="6" t="s">
        <v>115</v>
      </c>
      <c r="C6" s="10">
        <v>45051</v>
      </c>
      <c r="D6" s="6" t="s">
        <v>246</v>
      </c>
      <c r="E6" s="11" t="s">
        <v>250</v>
      </c>
      <c r="F6" s="9" t="s">
        <v>248</v>
      </c>
      <c r="G6" s="12" t="s">
        <v>249</v>
      </c>
      <c r="H6" s="13">
        <v>6000</v>
      </c>
      <c r="I6" s="14">
        <v>1300</v>
      </c>
      <c r="J6" s="15">
        <v>955</v>
      </c>
      <c r="K6" s="6"/>
      <c r="L6" s="1">
        <f t="shared" si="1"/>
        <v>0</v>
      </c>
    </row>
    <row r="7" spans="1:14">
      <c r="A7" s="9">
        <f t="shared" si="0"/>
        <v>6</v>
      </c>
      <c r="B7" s="6" t="s">
        <v>121</v>
      </c>
      <c r="C7" s="10">
        <v>45425</v>
      </c>
      <c r="D7" s="6" t="s">
        <v>246</v>
      </c>
      <c r="E7" s="11" t="s">
        <v>247</v>
      </c>
      <c r="F7" s="9" t="s">
        <v>248</v>
      </c>
      <c r="G7" s="12" t="s">
        <v>249</v>
      </c>
      <c r="H7" s="13">
        <v>5500</v>
      </c>
      <c r="I7" s="14"/>
      <c r="J7" s="15">
        <v>955</v>
      </c>
      <c r="K7" s="6"/>
      <c r="L7" s="1">
        <f t="shared" si="1"/>
        <v>0</v>
      </c>
    </row>
    <row r="8" spans="1:14">
      <c r="A8" s="16">
        <f t="shared" si="0"/>
        <v>7</v>
      </c>
      <c r="B8" s="17" t="s">
        <v>254</v>
      </c>
      <c r="C8" s="18">
        <v>46099</v>
      </c>
      <c r="D8" s="16" t="s">
        <v>255</v>
      </c>
      <c r="E8" s="19" t="s">
        <v>250</v>
      </c>
      <c r="F8" s="9" t="s">
        <v>256</v>
      </c>
      <c r="G8" s="12" t="s">
        <v>251</v>
      </c>
      <c r="H8" s="20">
        <v>6000</v>
      </c>
      <c r="I8" s="20">
        <v>1000</v>
      </c>
      <c r="J8" s="21"/>
      <c r="K8" s="16"/>
      <c r="L8" s="1">
        <f t="shared" si="1"/>
        <v>0</v>
      </c>
      <c r="M8" s="1" t="s">
        <v>257</v>
      </c>
    </row>
    <row r="9" spans="1:14">
      <c r="A9" s="9">
        <f t="shared" si="0"/>
        <v>8</v>
      </c>
      <c r="B9" s="9" t="s">
        <v>48</v>
      </c>
      <c r="C9" s="22">
        <v>46085</v>
      </c>
      <c r="D9" s="9" t="s">
        <v>255</v>
      </c>
      <c r="E9" s="11" t="s">
        <v>252</v>
      </c>
      <c r="F9" s="9" t="s">
        <v>256</v>
      </c>
      <c r="G9" s="12" t="s">
        <v>253</v>
      </c>
      <c r="H9" s="23">
        <v>1000</v>
      </c>
      <c r="I9" s="23"/>
      <c r="J9" s="15"/>
      <c r="K9" s="9"/>
      <c r="L9" s="1">
        <f t="shared" si="1"/>
        <v>0</v>
      </c>
      <c r="M9" s="1" t="s">
        <v>258</v>
      </c>
    </row>
    <row r="10" spans="1:14">
      <c r="A10" s="9">
        <f t="shared" si="0"/>
        <v>9</v>
      </c>
      <c r="B10" s="9" t="s">
        <v>259</v>
      </c>
      <c r="C10" s="22">
        <v>46097</v>
      </c>
      <c r="D10" s="9" t="s">
        <v>260</v>
      </c>
      <c r="E10" s="11" t="s">
        <v>252</v>
      </c>
      <c r="F10" s="9" t="s">
        <v>256</v>
      </c>
      <c r="G10" s="12" t="s">
        <v>253</v>
      </c>
      <c r="H10" s="23">
        <v>1000</v>
      </c>
      <c r="I10" s="23"/>
      <c r="J10" s="15"/>
      <c r="K10" s="9"/>
      <c r="L10" s="1">
        <f t="shared" si="1"/>
        <v>0</v>
      </c>
      <c r="M10" s="1" t="s">
        <v>261</v>
      </c>
    </row>
    <row r="11" spans="1:14">
      <c r="A11" s="9">
        <f t="shared" si="0"/>
        <v>10</v>
      </c>
      <c r="B11" s="9" t="s">
        <v>83</v>
      </c>
      <c r="C11" s="22"/>
      <c r="D11" s="9" t="s">
        <v>262</v>
      </c>
      <c r="E11" s="11" t="s">
        <v>247</v>
      </c>
      <c r="F11" s="9" t="s">
        <v>256</v>
      </c>
      <c r="G11" s="12" t="s">
        <v>249</v>
      </c>
      <c r="H11" s="23">
        <v>5000</v>
      </c>
      <c r="I11" s="23"/>
      <c r="J11" s="15">
        <v>955</v>
      </c>
      <c r="K11" s="9"/>
      <c r="L11" s="1">
        <f t="shared" si="1"/>
        <v>0</v>
      </c>
      <c r="M11" s="1" t="s">
        <v>263</v>
      </c>
    </row>
    <row r="12" spans="1:14">
      <c r="A12" s="2" t="s">
        <v>264</v>
      </c>
      <c r="G12" s="24"/>
      <c r="H12" s="5">
        <f>SUMIF(F2:F11,"在职",H2:H11)</f>
        <v>28000</v>
      </c>
      <c r="I12" s="5">
        <f>SUMIF(F2:F11,"在职",I2:I11)</f>
        <v>4300</v>
      </c>
      <c r="J12" s="5">
        <f>SUMIF(F2:F11,"在职",J2:J11)</f>
        <v>2865</v>
      </c>
    </row>
    <row r="13" spans="1:14">
      <c r="G13" s="24"/>
    </row>
    <row r="14" spans="1:14">
      <c r="G14" s="24"/>
    </row>
  </sheetData>
  <sheetProtection formatCells="0" formatColumns="0" formatRows="0" insertRows="0" insertColumns="0" insertHyperlinks="0" deleteColumns="0" deleteRows="0" sort="0" autoFilter="0" pivotTables="0"/>
  <dataValidations count="4">
    <dataValidation type="date" operator="greaterThanOrEqual" allowBlank="1" showErrorMessage="1" errorTitle="输入内容有误" error="请输入正确的日期" sqref="C2:C1048576">
      <formula1>1</formula1>
    </dataValidation>
    <dataValidation type="list" allowBlank="1" showErrorMessage="1" errorTitle="错误提示" error="请输入下拉列表中的值" id="{f85b0a7d-1838-491d-b941-0b7c4171194a}" sqref="E2:E1048576">
      <formula1>"高级,中级,初级,实习生"</formula1>
    </dataValidation>
    <dataValidation type="list" allowBlank="1" showErrorMessage="1" errorTitle="错误提示" error="请输入下拉列表中的值" id="{8b29efca-8187-45a4-b68e-571ab5cce5cd}" sqref="F2:F1048576">
      <formula1>"在职,离职"</formula1>
    </dataValidation>
    <dataValidation type="list" allowBlank="1" showErrorMessage="1" errorTitle="错误提示" error="请输入下拉列表中的值" id="{0bfaa18c-af09-4265-a214-864048abab4b}" sqref="G2:G1048576">
      <formula1>"试用,正式,实习"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A1" sqref="A1"/>
    </sheetView>
  </sheetViews>
  <sheetFormatPr defaultColWidth="9.88888888888889" defaultRowHeight="16.5"/>
  <cols>
    <col min="1" max="16384" width="9.88888888888889" style="1"/>
  </cols>
  <sheetData>
    <row r="1" spans="1:13">
      <c r="A1" s="1" t="s">
        <v>0</v>
      </c>
      <c r="B1" s="1" t="s">
        <v>1</v>
      </c>
      <c r="C1" s="1" t="s">
        <v>265</v>
      </c>
      <c r="D1" s="1" t="s">
        <v>5</v>
      </c>
      <c r="E1" s="1" t="s">
        <v>6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</row>
    <row r="2" spans="1:13">
      <c r="A2" s="1" t="s">
        <v>30</v>
      </c>
      <c r="B2" s="1">
        <v>3000</v>
      </c>
      <c r="C2" s="1">
        <f t="shared" ref="C2:C14" si="0">B2*0.35</f>
        <v>1050</v>
      </c>
      <c r="D2" s="1">
        <v>0</v>
      </c>
      <c r="E2" s="1">
        <f t="shared" ref="E2:E14" si="1">B2*D2</f>
        <v>0</v>
      </c>
      <c r="F2" s="1" t="s">
        <v>31</v>
      </c>
      <c r="H2" s="1">
        <v>0.33</v>
      </c>
      <c r="I2" s="1">
        <f>SUMIF(人员工资!B2:B10,F2,人员工资!H2:H10)+SUMIF(人员工资!B2:B10,G2,人员工资!H2:H10)</f>
        <v>0</v>
      </c>
      <c r="J2" s="1">
        <f>SUMIF(人员工资!B2:B10,F2,人员工资!J2:J10)+SUMIF(人员工资!B2:B10,G2,人员工资!J2:J10)</f>
        <v>0</v>
      </c>
      <c r="K2" s="1">
        <f t="shared" ref="K2:K14" si="2">(I2+J2)*H2</f>
        <v>0</v>
      </c>
      <c r="L2" s="1">
        <f t="shared" ref="L2:L14" si="3">C2-E2-K2</f>
        <v>1050</v>
      </c>
      <c r="M2" s="1">
        <f t="shared" ref="M2:M14" si="4">IF(COUNTA(F2:G2)&gt;0,L2/COUNTA(F2:G2),0)</f>
        <v>1050</v>
      </c>
    </row>
    <row r="3" spans="1:13">
      <c r="A3" s="1" t="s">
        <v>38</v>
      </c>
      <c r="B3" s="1">
        <v>500</v>
      </c>
      <c r="C3" s="1">
        <f t="shared" si="0"/>
        <v>175</v>
      </c>
      <c r="D3" s="1">
        <v>0</v>
      </c>
      <c r="E3" s="1">
        <f t="shared" si="1"/>
        <v>0</v>
      </c>
      <c r="F3" s="1" t="s">
        <v>31</v>
      </c>
      <c r="H3" s="1">
        <v>0.05</v>
      </c>
      <c r="I3" s="1">
        <f>SUMIF(人员工资!B2:B10,F3,人员工资!H2:H10)+SUMIF(人员工资!B2:B10,G3,人员工资!H2:H10)</f>
        <v>0</v>
      </c>
      <c r="J3" s="1">
        <f>SUMIF(人员工资!B2:B10,F3,人员工资!J2:J10)+SUMIF(人员工资!B2:B10,G3,人员工资!J2:J10)</f>
        <v>0</v>
      </c>
      <c r="K3" s="1">
        <f t="shared" si="2"/>
        <v>0</v>
      </c>
      <c r="L3" s="1">
        <f t="shared" si="3"/>
        <v>175</v>
      </c>
      <c r="M3" s="1">
        <f t="shared" si="4"/>
        <v>175</v>
      </c>
    </row>
    <row r="4" spans="1:13">
      <c r="A4" s="1" t="s">
        <v>41</v>
      </c>
      <c r="B4" s="1">
        <v>2500</v>
      </c>
      <c r="C4" s="1">
        <f t="shared" si="0"/>
        <v>875</v>
      </c>
      <c r="D4" s="1">
        <v>0</v>
      </c>
      <c r="E4" s="1">
        <f t="shared" si="1"/>
        <v>0</v>
      </c>
      <c r="F4" s="1" t="s">
        <v>31</v>
      </c>
      <c r="H4" s="1">
        <v>0.05</v>
      </c>
      <c r="I4" s="1">
        <f>SUMIF(人员工资!B2:B10,F4,人员工资!H2:H10)+SUMIF(人员工资!B2:B10,G4,人员工资!H2:H10)</f>
        <v>0</v>
      </c>
      <c r="J4" s="1">
        <f>SUMIF(人员工资!B2:B10,F4,人员工资!J2:J10)+SUMIF(人员工资!B2:B10,G4,人员工资!J2:J10)</f>
        <v>0</v>
      </c>
      <c r="K4" s="1">
        <f t="shared" si="2"/>
        <v>0</v>
      </c>
      <c r="L4" s="1">
        <f t="shared" si="3"/>
        <v>875</v>
      </c>
      <c r="M4" s="1">
        <f t="shared" si="4"/>
        <v>875</v>
      </c>
    </row>
    <row r="5" spans="1:13">
      <c r="A5" s="1" t="s">
        <v>44</v>
      </c>
      <c r="B5" s="1">
        <v>1000</v>
      </c>
      <c r="C5" s="1">
        <f t="shared" si="0"/>
        <v>350</v>
      </c>
      <c r="D5" s="1">
        <v>0</v>
      </c>
      <c r="E5" s="1">
        <f t="shared" si="1"/>
        <v>0</v>
      </c>
      <c r="F5" s="1" t="s">
        <v>31</v>
      </c>
      <c r="H5" s="1">
        <v>0.05</v>
      </c>
      <c r="I5" s="1">
        <f>SUMIF(人员工资!B2:B10,F5,人员工资!H2:H10)+SUMIF(人员工资!B2:B10,G5,人员工资!H2:H10)</f>
        <v>0</v>
      </c>
      <c r="J5" s="1">
        <f>SUMIF(人员工资!B2:B10,F5,人员工资!J2:J10)+SUMIF(人员工资!B2:B10,G5,人员工资!J2:J10)</f>
        <v>0</v>
      </c>
      <c r="K5" s="1">
        <f t="shared" si="2"/>
        <v>0</v>
      </c>
      <c r="L5" s="1">
        <f t="shared" si="3"/>
        <v>350</v>
      </c>
      <c r="M5" s="1">
        <f t="shared" si="4"/>
        <v>350</v>
      </c>
    </row>
    <row r="6" spans="1:13">
      <c r="A6" s="1" t="s">
        <v>47</v>
      </c>
      <c r="B6" s="1">
        <v>22000</v>
      </c>
      <c r="C6" s="1">
        <f t="shared" si="0"/>
        <v>7700</v>
      </c>
      <c r="D6" s="1">
        <v>0.002</v>
      </c>
      <c r="E6" s="1">
        <f t="shared" si="1"/>
        <v>44</v>
      </c>
      <c r="F6" s="1" t="s">
        <v>48</v>
      </c>
      <c r="H6" s="1">
        <v>0.083</v>
      </c>
      <c r="I6" s="1">
        <f>SUMIF(人员工资!B2:B10,F6,人员工资!H2:H10)+SUMIF(人员工资!B2:B10,G6,人员工资!H2:H10)</f>
        <v>1000</v>
      </c>
      <c r="J6" s="1">
        <f>SUMIF(人员工资!B2:B10,F6,人员工资!J2:J10)+SUMIF(人员工资!B2:B10,G6,人员工资!J2:J10)</f>
        <v>0</v>
      </c>
      <c r="K6" s="1">
        <f t="shared" si="2"/>
        <v>83</v>
      </c>
      <c r="L6" s="1">
        <f t="shared" si="3"/>
        <v>7573</v>
      </c>
      <c r="M6" s="1">
        <f t="shared" si="4"/>
        <v>7573</v>
      </c>
    </row>
    <row r="7" spans="1:13">
      <c r="A7" s="1" t="s">
        <v>55</v>
      </c>
      <c r="B7" s="1">
        <v>2000</v>
      </c>
      <c r="C7" s="1">
        <f t="shared" si="0"/>
        <v>700</v>
      </c>
      <c r="D7" s="1">
        <v>0.002</v>
      </c>
      <c r="E7" s="1">
        <f t="shared" si="1"/>
        <v>4</v>
      </c>
      <c r="F7" s="1" t="s">
        <v>48</v>
      </c>
      <c r="H7" s="1">
        <v>0.083</v>
      </c>
      <c r="I7" s="1">
        <f>SUMIF(人员工资!B2:B10,F7,人员工资!H2:H10)+SUMIF(人员工资!B2:B10,G7,人员工资!H2:H10)</f>
        <v>1000</v>
      </c>
      <c r="J7" s="1">
        <f>SUMIF(人员工资!B2:B10,F7,人员工资!J2:J10)+SUMIF(人员工资!B2:B10,G7,人员工资!J2:J10)</f>
        <v>0</v>
      </c>
      <c r="K7" s="1">
        <f t="shared" si="2"/>
        <v>83</v>
      </c>
      <c r="L7" s="1">
        <f t="shared" si="3"/>
        <v>613</v>
      </c>
      <c r="M7" s="1">
        <f t="shared" si="4"/>
        <v>613</v>
      </c>
    </row>
    <row r="8" spans="1:13">
      <c r="A8" s="1" t="s">
        <v>57</v>
      </c>
      <c r="B8" s="1">
        <v>67040</v>
      </c>
      <c r="C8" s="1">
        <f t="shared" si="0"/>
        <v>23464</v>
      </c>
      <c r="D8" s="1">
        <v>0.002</v>
      </c>
      <c r="E8" s="1">
        <f t="shared" si="1"/>
        <v>134.08</v>
      </c>
      <c r="F8" s="1" t="s">
        <v>48</v>
      </c>
      <c r="H8" s="1">
        <v>2</v>
      </c>
      <c r="I8" s="1">
        <f>SUMIF(人员工资!B2:B10,F8,人员工资!H2:H10)+SUMIF(人员工资!B2:B10,G8,人员工资!H2:H10)</f>
        <v>1000</v>
      </c>
      <c r="J8" s="1">
        <f>SUMIF(人员工资!B2:B10,F8,人员工资!J2:J10)+SUMIF(人员工资!B2:B10,G8,人员工资!J2:J10)</f>
        <v>0</v>
      </c>
      <c r="K8" s="1">
        <f t="shared" si="2"/>
        <v>2000</v>
      </c>
      <c r="L8" s="1">
        <f t="shared" si="3"/>
        <v>21329.92</v>
      </c>
      <c r="M8" s="1">
        <f t="shared" si="4"/>
        <v>21329.92</v>
      </c>
    </row>
    <row r="9" spans="1:13">
      <c r="A9" s="1" t="s">
        <v>63</v>
      </c>
      <c r="B9" s="1">
        <v>45000</v>
      </c>
      <c r="C9" s="1">
        <f t="shared" si="0"/>
        <v>15750</v>
      </c>
      <c r="D9" s="1">
        <v>0.002</v>
      </c>
      <c r="E9" s="1">
        <f t="shared" si="1"/>
        <v>90</v>
      </c>
      <c r="F9" s="1" t="s">
        <v>65</v>
      </c>
      <c r="H9" s="1">
        <v>1</v>
      </c>
      <c r="I9" s="1">
        <f>SUMIF(人员工资!B2:B10,F9,人员工资!H2:H10)+SUMIF(人员工资!B2:B10,G9,人员工资!H2:H10)</f>
        <v>5000</v>
      </c>
      <c r="J9" s="1">
        <f>SUMIF(人员工资!B2:B10,F9,人员工资!J2:J10)+SUMIF(人员工资!B2:B10,G9,人员工资!J2:J10)</f>
        <v>955</v>
      </c>
      <c r="K9" s="1">
        <f t="shared" si="2"/>
        <v>5955</v>
      </c>
      <c r="L9" s="1">
        <f t="shared" si="3"/>
        <v>9705</v>
      </c>
      <c r="M9" s="1">
        <f t="shared" si="4"/>
        <v>9705</v>
      </c>
    </row>
    <row r="10" spans="1:13">
      <c r="A10" s="1" t="s">
        <v>69</v>
      </c>
      <c r="B10" s="1">
        <v>110000</v>
      </c>
      <c r="C10" s="1">
        <f t="shared" si="0"/>
        <v>38500</v>
      </c>
      <c r="D10" s="1">
        <v>0</v>
      </c>
      <c r="E10" s="1">
        <f t="shared" si="1"/>
        <v>0</v>
      </c>
      <c r="F10" s="1" t="s">
        <v>65</v>
      </c>
      <c r="H10" s="1">
        <v>1</v>
      </c>
      <c r="I10" s="1">
        <f>SUMIF(人员工资!B2:B10,F10,人员工资!H2:H10)+SUMIF(人员工资!B2:B10,G10,人员工资!H2:H10)</f>
        <v>5000</v>
      </c>
      <c r="J10" s="1">
        <f>SUMIF(人员工资!B2:B10,F10,人员工资!J2:J10)+SUMIF(人员工资!B2:B10,G10,人员工资!J2:J10)</f>
        <v>955</v>
      </c>
      <c r="K10" s="1">
        <f t="shared" si="2"/>
        <v>5955</v>
      </c>
      <c r="L10" s="1">
        <f t="shared" si="3"/>
        <v>32545</v>
      </c>
      <c r="M10" s="1">
        <f t="shared" si="4"/>
        <v>32545</v>
      </c>
    </row>
    <row r="11" spans="1:13">
      <c r="A11" s="1" t="s">
        <v>76</v>
      </c>
      <c r="B11" s="1">
        <v>5500</v>
      </c>
      <c r="C11" s="1">
        <f t="shared" si="0"/>
        <v>1925</v>
      </c>
      <c r="D11" s="1">
        <v>0</v>
      </c>
      <c r="E11" s="1">
        <f t="shared" si="1"/>
        <v>0</v>
      </c>
      <c r="F11" s="1" t="s">
        <v>77</v>
      </c>
      <c r="H11" s="1">
        <v>1</v>
      </c>
      <c r="I11" s="1">
        <f>SUMIF(人员工资!B2:B10,F11,人员工资!H2:H10)+SUMIF(人员工资!B2:B10,G11,人员工资!H2:H10)</f>
        <v>1000</v>
      </c>
      <c r="J11" s="1">
        <f>SUMIF(人员工资!B2:B10,F11,人员工资!J2:J10)+SUMIF(人员工资!B2:B10,G11,人员工资!J2:J10)</f>
        <v>0</v>
      </c>
      <c r="K11" s="1">
        <f t="shared" si="2"/>
        <v>1000</v>
      </c>
      <c r="L11" s="1">
        <f t="shared" si="3"/>
        <v>925</v>
      </c>
      <c r="M11" s="1">
        <f t="shared" si="4"/>
        <v>925</v>
      </c>
    </row>
    <row r="12" spans="1:13">
      <c r="A12" s="1" t="s">
        <v>81</v>
      </c>
      <c r="B12" s="1">
        <v>52750</v>
      </c>
      <c r="C12" s="1">
        <f t="shared" si="0"/>
        <v>18462.5</v>
      </c>
      <c r="D12" s="1">
        <v>0.1</v>
      </c>
      <c r="E12" s="1">
        <f t="shared" si="1"/>
        <v>5275</v>
      </c>
      <c r="F12" s="1" t="s">
        <v>83</v>
      </c>
      <c r="H12" s="1">
        <v>1</v>
      </c>
      <c r="I12" s="1">
        <f>SUMIF(人员工资!B2:B10,F12,人员工资!H2:H10)+SUMIF(人员工资!B2:B10,G12,人员工资!H2:H10)</f>
        <v>0</v>
      </c>
      <c r="J12" s="1">
        <f>SUMIF(人员工资!B2:B10,F12,人员工资!J2:J10)+SUMIF(人员工资!B2:B10,G12,人员工资!J2:J10)</f>
        <v>0</v>
      </c>
      <c r="K12" s="1">
        <f t="shared" si="2"/>
        <v>0</v>
      </c>
      <c r="L12" s="1">
        <f t="shared" si="3"/>
        <v>13187.5</v>
      </c>
      <c r="M12" s="1">
        <f t="shared" si="4"/>
        <v>13187.5</v>
      </c>
    </row>
    <row r="13" spans="1:13">
      <c r="A13" s="1" t="s">
        <v>86</v>
      </c>
      <c r="B13" s="1">
        <v>1500</v>
      </c>
      <c r="C13" s="1">
        <f t="shared" si="0"/>
        <v>525</v>
      </c>
      <c r="D13" s="1">
        <v>0.1</v>
      </c>
      <c r="E13" s="1">
        <f t="shared" si="1"/>
        <v>150</v>
      </c>
      <c r="F13" s="1" t="s">
        <v>83</v>
      </c>
      <c r="H13" s="1">
        <v>1</v>
      </c>
      <c r="I13" s="1">
        <f>SUMIF(人员工资!B2:B10,F13,人员工资!H2:H10)+SUMIF(人员工资!B2:B10,G13,人员工资!H2:H10)</f>
        <v>0</v>
      </c>
      <c r="J13" s="1">
        <f>SUMIF(人员工资!B2:B10,F13,人员工资!J2:J10)+SUMIF(人员工资!B2:B10,G13,人员工资!J2:J10)</f>
        <v>0</v>
      </c>
      <c r="K13" s="1">
        <f t="shared" si="2"/>
        <v>0</v>
      </c>
      <c r="L13" s="1">
        <f t="shared" si="3"/>
        <v>375</v>
      </c>
      <c r="M13" s="1">
        <f t="shared" si="4"/>
        <v>375</v>
      </c>
    </row>
    <row r="14" spans="1:13">
      <c r="A14" s="1" t="s">
        <v>87</v>
      </c>
      <c r="B14" s="1">
        <v>2000</v>
      </c>
      <c r="C14" s="1">
        <f t="shared" si="0"/>
        <v>700</v>
      </c>
      <c r="D14" s="1">
        <v>0.1</v>
      </c>
      <c r="E14" s="1">
        <f t="shared" si="1"/>
        <v>200</v>
      </c>
      <c r="F14" s="1" t="s">
        <v>48</v>
      </c>
      <c r="H14" s="1">
        <v>1</v>
      </c>
      <c r="I14" s="1">
        <f>SUMIF(人员工资!B2:B10,F14,人员工资!H2:H10)+SUMIF(人员工资!B2:B10,G14,人员工资!H2:H10)</f>
        <v>1000</v>
      </c>
      <c r="J14" s="1">
        <f>SUMIF(人员工资!B2:B10,F14,人员工资!J2:J10)+SUMIF(人员工资!B2:B10,G14,人员工资!J2:J10)</f>
        <v>0</v>
      </c>
      <c r="K14" s="1">
        <f t="shared" si="2"/>
        <v>1000</v>
      </c>
      <c r="L14" s="1">
        <f t="shared" si="3"/>
        <v>-500</v>
      </c>
      <c r="M14" s="1">
        <f t="shared" si="4"/>
        <v>-500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>
  <dvExt uuid="{0bfaa18c-af09-4265-a214-864048abab4b}">
    <list multiSupport="0" colorSupport="1">
      <item index="0">
        <color s:rgb="FF51D7D6"/>
      </item>
      <item index="1">
        <color s:rgb="FFE9552D"/>
      </item>
      <item index="2">
        <color s:rgb="FF6CCD71"/>
      </item>
    </list>
  </dvExt>
  <dvExt uuid="{8b29efca-8187-45a4-b68e-571ab5cce5cd}">
    <list multiSupport="0" colorSupport="1">
      <item index="0">
        <color s:rgb="FFE9552D"/>
      </item>
      <item index="1">
        <color s:rgb="FF767C85"/>
      </item>
    </list>
  </dvExt>
  <dvExt uuid="{f85b0a7d-1838-491d-b941-0b7c4171194a}">
    <list multiSupport="0" colorSupport="1">
      <item index="0">
        <color s:rgb="FF5081C2"/>
      </item>
      <item index="1">
        <color s:rgb="FF30A4E4"/>
      </item>
      <item index="2">
        <color s:rgb="FF00BBBB"/>
      </item>
      <item index="3">
        <color s:rgb="FF1FBB6A"/>
      </item>
    </list>
  </dvExt>
</dvExt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hyperlinks>
        <hyperlink ref="AC4">
          <hypersublink pos="0" length="13" display="📄会议纪要需修改需求总结" address="kw:annex?aType=docs&amp;oId=HEUEZ6BFACAFM&amp;fileName=%E4%BC%9A%E8%AE%AE%E7%BA%AA%E8%A6%81%E9%9C%80%E4%BF%AE%E6%94%B9%E9%9C%80%E6%B1%82%E6%80%BB%E7%BB%93.docx&amp;fileSize=5700" subaddress="" screenTip="" linkrunstype="LRTMention"/>
        </hyperlink>
      </hyperlinks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项目提成核算表</vt:lpstr>
      <vt:lpstr>一部遗留项目</vt:lpstr>
      <vt:lpstr>人员工资</vt:lpstr>
      <vt:lpstr>成本核算新表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2026-07-25T11:36:31Z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B9EA221FF24A81C33F2F646ACCB8A62B_41</vt:lpwstr>
  </property>
  <property fmtid="{D5CDD505-2E9C-101B-9397-08002B2CF9AE}" pid="3" name="KSOProductBuildVer">
    <vt:lpwstr>2052-12.9.0.28068</vt:lpwstr>
  </property>
  <property fmtid="{D5CDD505-2E9C-101B-9397-08002B2CF9AE}" pid="4" name="CalculationRule">
    <vt:i4>1</vt:i4>
  </property>
</Properties>
</file>